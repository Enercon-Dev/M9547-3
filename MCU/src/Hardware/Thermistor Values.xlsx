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S\M9811-1\MCU\M9811\src\Hardware\"/>
    </mc:Choice>
  </mc:AlternateContent>
  <xr:revisionPtr revIDLastSave="0" documentId="13_ncr:1_{1B109A36-C758-4A95-9D75-B9B4FCFA7E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hermistor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C7" i="2" s="1"/>
  <c r="D7" i="2" s="1"/>
  <c r="E7" i="2" s="1"/>
  <c r="B8" i="2"/>
  <c r="B9" i="2"/>
  <c r="C9" i="2" s="1"/>
  <c r="D9" i="2" s="1"/>
  <c r="E9" i="2" s="1"/>
  <c r="B10" i="2"/>
  <c r="C10" i="2" s="1"/>
  <c r="D10" i="2" s="1"/>
  <c r="E10" i="2" s="1"/>
  <c r="B11" i="2"/>
  <c r="C11" i="2" s="1"/>
  <c r="D11" i="2" s="1"/>
  <c r="E11" i="2" s="1"/>
  <c r="B12" i="2"/>
  <c r="B13" i="2"/>
  <c r="B14" i="2"/>
  <c r="B15" i="2"/>
  <c r="B16" i="2"/>
  <c r="B17" i="2"/>
  <c r="C17" i="2" s="1"/>
  <c r="D17" i="2" s="1"/>
  <c r="E17" i="2" s="1"/>
  <c r="B18" i="2"/>
  <c r="C18" i="2" s="1"/>
  <c r="D18" i="2" s="1"/>
  <c r="E18" i="2" s="1"/>
  <c r="B19" i="2"/>
  <c r="C19" i="2" s="1"/>
  <c r="D19" i="2" s="1"/>
  <c r="E19" i="2" s="1"/>
  <c r="B20" i="2"/>
  <c r="B21" i="2"/>
  <c r="B22" i="2"/>
  <c r="B23" i="2"/>
  <c r="C23" i="2" s="1"/>
  <c r="D23" i="2" s="1"/>
  <c r="E23" i="2" s="1"/>
  <c r="B24" i="2"/>
  <c r="B25" i="2"/>
  <c r="C25" i="2" s="1"/>
  <c r="D25" i="2" s="1"/>
  <c r="B26" i="2"/>
  <c r="B27" i="2"/>
  <c r="C27" i="2" s="1"/>
  <c r="D27" i="2" s="1"/>
  <c r="E27" i="2" s="1"/>
  <c r="B28" i="2"/>
  <c r="B29" i="2"/>
  <c r="C29" i="2" s="1"/>
  <c r="D29" i="2" s="1"/>
  <c r="E29" i="2" s="1"/>
  <c r="B30" i="2"/>
  <c r="B31" i="2"/>
  <c r="B32" i="2"/>
  <c r="B33" i="2"/>
  <c r="C33" i="2" s="1"/>
  <c r="D33" i="2" s="1"/>
  <c r="E33" i="2" s="1"/>
  <c r="B34" i="2"/>
  <c r="C34" i="2" s="1"/>
  <c r="D34" i="2" s="1"/>
  <c r="E34" i="2" s="1"/>
  <c r="B35" i="2"/>
  <c r="C35" i="2" s="1"/>
  <c r="D35" i="2" s="1"/>
  <c r="E35" i="2" s="1"/>
  <c r="B36" i="2"/>
  <c r="B37" i="2"/>
  <c r="B38" i="2"/>
  <c r="B39" i="2"/>
  <c r="C39" i="2" s="1"/>
  <c r="D39" i="2" s="1"/>
  <c r="E39" i="2" s="1"/>
  <c r="B40" i="2"/>
  <c r="B41" i="2"/>
  <c r="C41" i="2" s="1"/>
  <c r="D41" i="2" s="1"/>
  <c r="E41" i="2" s="1"/>
  <c r="B42" i="2"/>
  <c r="C42" i="2" s="1"/>
  <c r="D42" i="2" s="1"/>
  <c r="E42" i="2" s="1"/>
  <c r="B43" i="2"/>
  <c r="C43" i="2" s="1"/>
  <c r="D43" i="2" s="1"/>
  <c r="E43" i="2" s="1"/>
  <c r="B44" i="2"/>
  <c r="C44" i="2" s="1"/>
  <c r="D44" i="2" s="1"/>
  <c r="E44" i="2" s="1"/>
  <c r="B45" i="2"/>
  <c r="B46" i="2"/>
  <c r="B47" i="2"/>
  <c r="B48" i="2"/>
  <c r="B49" i="2"/>
  <c r="C49" i="2" s="1"/>
  <c r="D49" i="2" s="1"/>
  <c r="B50" i="2"/>
  <c r="C50" i="2" s="1"/>
  <c r="D50" i="2" s="1"/>
  <c r="E50" i="2" s="1"/>
  <c r="B51" i="2"/>
  <c r="C51" i="2" s="1"/>
  <c r="D51" i="2" s="1"/>
  <c r="E51" i="2" s="1"/>
  <c r="B52" i="2"/>
  <c r="B53" i="2"/>
  <c r="B54" i="2"/>
  <c r="C54" i="2" s="1"/>
  <c r="D54" i="2" s="1"/>
  <c r="E54" i="2" s="1"/>
  <c r="B55" i="2"/>
  <c r="B56" i="2"/>
  <c r="B57" i="2"/>
  <c r="C57" i="2" s="1"/>
  <c r="D57" i="2" s="1"/>
  <c r="E57" i="2" s="1"/>
  <c r="B58" i="2"/>
  <c r="C58" i="2" s="1"/>
  <c r="D58" i="2" s="1"/>
  <c r="E58" i="2" s="1"/>
  <c r="B59" i="2"/>
  <c r="C59" i="2" s="1"/>
  <c r="D59" i="2" s="1"/>
  <c r="E59" i="2" s="1"/>
  <c r="B60" i="2"/>
  <c r="B61" i="2"/>
  <c r="C61" i="2" s="1"/>
  <c r="D61" i="2" s="1"/>
  <c r="E61" i="2" s="1"/>
  <c r="B62" i="2"/>
  <c r="B63" i="2"/>
  <c r="B64" i="2"/>
  <c r="B65" i="2"/>
  <c r="C65" i="2" s="1"/>
  <c r="D65" i="2" s="1"/>
  <c r="E65" i="2" s="1"/>
  <c r="B66" i="2"/>
  <c r="C66" i="2" s="1"/>
  <c r="D66" i="2" s="1"/>
  <c r="E66" i="2" s="1"/>
  <c r="B67" i="2"/>
  <c r="C67" i="2" s="1"/>
  <c r="D67" i="2" s="1"/>
  <c r="E67" i="2" s="1"/>
  <c r="B68" i="2"/>
  <c r="B69" i="2"/>
  <c r="B70" i="2"/>
  <c r="B71" i="2"/>
  <c r="B72" i="2"/>
  <c r="B73" i="2"/>
  <c r="C73" i="2" s="1"/>
  <c r="D73" i="2" s="1"/>
  <c r="B74" i="2"/>
  <c r="C74" i="2" s="1"/>
  <c r="D74" i="2" s="1"/>
  <c r="E74" i="2" s="1"/>
  <c r="B75" i="2"/>
  <c r="C75" i="2" s="1"/>
  <c r="D75" i="2" s="1"/>
  <c r="E75" i="2" s="1"/>
  <c r="B76" i="2"/>
  <c r="B77" i="2"/>
  <c r="B78" i="2"/>
  <c r="C78" i="2" s="1"/>
  <c r="D78" i="2" s="1"/>
  <c r="E78" i="2" s="1"/>
  <c r="B79" i="2"/>
  <c r="C79" i="2" s="1"/>
  <c r="D79" i="2" s="1"/>
  <c r="E79" i="2" s="1"/>
  <c r="B80" i="2"/>
  <c r="B81" i="2"/>
  <c r="C81" i="2" s="1"/>
  <c r="D81" i="2" s="1"/>
  <c r="B82" i="2"/>
  <c r="C82" i="2" s="1"/>
  <c r="D82" i="2" s="1"/>
  <c r="E82" i="2" s="1"/>
  <c r="B83" i="2"/>
  <c r="C83" i="2" s="1"/>
  <c r="D83" i="2" s="1"/>
  <c r="E83" i="2" s="1"/>
  <c r="B84" i="2"/>
  <c r="B85" i="2"/>
  <c r="B86" i="2"/>
  <c r="B87" i="2"/>
  <c r="B88" i="2"/>
  <c r="B89" i="2"/>
  <c r="C89" i="2" s="1"/>
  <c r="D89" i="2" s="1"/>
  <c r="E89" i="2" s="1"/>
  <c r="B90" i="2"/>
  <c r="C90" i="2" s="1"/>
  <c r="D90" i="2" s="1"/>
  <c r="E90" i="2" s="1"/>
  <c r="B91" i="2"/>
  <c r="C91" i="2" s="1"/>
  <c r="D91" i="2" s="1"/>
  <c r="E91" i="2" s="1"/>
  <c r="B92" i="2"/>
  <c r="B93" i="2"/>
  <c r="B94" i="2"/>
  <c r="B95" i="2"/>
  <c r="C95" i="2" s="1"/>
  <c r="D95" i="2" s="1"/>
  <c r="E95" i="2" s="1"/>
  <c r="B96" i="2"/>
  <c r="B97" i="2"/>
  <c r="C97" i="2" s="1"/>
  <c r="D97" i="2" s="1"/>
  <c r="B98" i="2"/>
  <c r="C98" i="2" s="1"/>
  <c r="D98" i="2" s="1"/>
  <c r="E98" i="2" s="1"/>
  <c r="B99" i="2"/>
  <c r="C99" i="2" s="1"/>
  <c r="D99" i="2" s="1"/>
  <c r="E99" i="2" s="1"/>
  <c r="B100" i="2"/>
  <c r="B101" i="2"/>
  <c r="C101" i="2" s="1"/>
  <c r="D101" i="2" s="1"/>
  <c r="E101" i="2" s="1"/>
  <c r="B102" i="2"/>
  <c r="C102" i="2" s="1"/>
  <c r="D102" i="2" s="1"/>
  <c r="E102" i="2" s="1"/>
  <c r="B103" i="2"/>
  <c r="B104" i="2"/>
  <c r="B105" i="2"/>
  <c r="C105" i="2" s="1"/>
  <c r="D105" i="2" s="1"/>
  <c r="E105" i="2" s="1"/>
  <c r="B106" i="2"/>
  <c r="C106" i="2" s="1"/>
  <c r="D106" i="2" s="1"/>
  <c r="E106" i="2" s="1"/>
  <c r="B107" i="2"/>
  <c r="C107" i="2" s="1"/>
  <c r="D107" i="2" s="1"/>
  <c r="E107" i="2" s="1"/>
  <c r="B108" i="2"/>
  <c r="B109" i="2"/>
  <c r="B110" i="2"/>
  <c r="B111" i="2"/>
  <c r="C111" i="2" s="1"/>
  <c r="D111" i="2" s="1"/>
  <c r="E111" i="2" s="1"/>
  <c r="B112" i="2"/>
  <c r="B113" i="2"/>
  <c r="C113" i="2" s="1"/>
  <c r="D113" i="2" s="1"/>
  <c r="E113" i="2" s="1"/>
  <c r="B114" i="2"/>
  <c r="C114" i="2" s="1"/>
  <c r="D114" i="2" s="1"/>
  <c r="E114" i="2" s="1"/>
  <c r="B115" i="2"/>
  <c r="C115" i="2" s="1"/>
  <c r="D115" i="2" s="1"/>
  <c r="E115" i="2" s="1"/>
  <c r="B116" i="2"/>
  <c r="B117" i="2"/>
  <c r="C117" i="2" s="1"/>
  <c r="D117" i="2" s="1"/>
  <c r="E117" i="2" s="1"/>
  <c r="B118" i="2"/>
  <c r="B119" i="2"/>
  <c r="C119" i="2" s="1"/>
  <c r="D119" i="2" s="1"/>
  <c r="E119" i="2" s="1"/>
  <c r="B120" i="2"/>
  <c r="B121" i="2"/>
  <c r="C121" i="2" s="1"/>
  <c r="D121" i="2" s="1"/>
  <c r="E121" i="2" s="1"/>
  <c r="B122" i="2"/>
  <c r="C122" i="2" s="1"/>
  <c r="D122" i="2" s="1"/>
  <c r="E122" i="2" s="1"/>
  <c r="B123" i="2"/>
  <c r="C123" i="2" s="1"/>
  <c r="D123" i="2" s="1"/>
  <c r="E123" i="2" s="1"/>
  <c r="B124" i="2"/>
  <c r="B125" i="2"/>
  <c r="B126" i="2"/>
  <c r="B127" i="2"/>
  <c r="C127" i="2" s="1"/>
  <c r="D127" i="2" s="1"/>
  <c r="E127" i="2" s="1"/>
  <c r="B128" i="2"/>
  <c r="B129" i="2"/>
  <c r="C129" i="2" s="1"/>
  <c r="D129" i="2" s="1"/>
  <c r="E129" i="2" s="1"/>
  <c r="B130" i="2"/>
  <c r="C130" i="2" s="1"/>
  <c r="D130" i="2" s="1"/>
  <c r="E130" i="2" s="1"/>
  <c r="B131" i="2"/>
  <c r="C131" i="2" s="1"/>
  <c r="D131" i="2" s="1"/>
  <c r="E131" i="2" s="1"/>
  <c r="B132" i="2"/>
  <c r="C132" i="2" s="1"/>
  <c r="D132" i="2" s="1"/>
  <c r="E132" i="2" s="1"/>
  <c r="B133" i="2"/>
  <c r="C133" i="2" s="1"/>
  <c r="D133" i="2" s="1"/>
  <c r="E133" i="2" s="1"/>
  <c r="B134" i="2"/>
  <c r="B135" i="2"/>
  <c r="C135" i="2" s="1"/>
  <c r="D135" i="2" s="1"/>
  <c r="E135" i="2" s="1"/>
  <c r="B136" i="2"/>
  <c r="B137" i="2"/>
  <c r="C137" i="2" s="1"/>
  <c r="D137" i="2" s="1"/>
  <c r="E137" i="2" s="1"/>
  <c r="B138" i="2"/>
  <c r="C138" i="2" s="1"/>
  <c r="D138" i="2" s="1"/>
  <c r="E138" i="2" s="1"/>
  <c r="B139" i="2"/>
  <c r="C139" i="2" s="1"/>
  <c r="D139" i="2" s="1"/>
  <c r="E139" i="2" s="1"/>
  <c r="B140" i="2"/>
  <c r="C140" i="2" s="1"/>
  <c r="D140" i="2" s="1"/>
  <c r="E140" i="2" s="1"/>
  <c r="B141" i="2"/>
  <c r="B142" i="2"/>
  <c r="B143" i="2"/>
  <c r="C143" i="2" s="1"/>
  <c r="D143" i="2" s="1"/>
  <c r="E143" i="2" s="1"/>
  <c r="B144" i="2"/>
  <c r="C144" i="2" s="1"/>
  <c r="D144" i="2" s="1"/>
  <c r="E144" i="2" s="1"/>
  <c r="B145" i="2"/>
  <c r="C145" i="2" s="1"/>
  <c r="D145" i="2" s="1"/>
  <c r="B146" i="2"/>
  <c r="C146" i="2" s="1"/>
  <c r="D146" i="2" s="1"/>
  <c r="E146" i="2" s="1"/>
  <c r="B147" i="2"/>
  <c r="C147" i="2" s="1"/>
  <c r="D147" i="2" s="1"/>
  <c r="E147" i="2" s="1"/>
  <c r="B148" i="2"/>
  <c r="C148" i="2" s="1"/>
  <c r="D148" i="2" s="1"/>
  <c r="E148" i="2" s="1"/>
  <c r="B149" i="2"/>
  <c r="B150" i="2"/>
  <c r="B151" i="2"/>
  <c r="C151" i="2" s="1"/>
  <c r="D151" i="2" s="1"/>
  <c r="E151" i="2" s="1"/>
  <c r="B3" i="2"/>
  <c r="C3" i="2" s="1"/>
  <c r="D3" i="2" s="1"/>
  <c r="E3" i="2" s="1"/>
  <c r="C150" i="2"/>
  <c r="D150" i="2" s="1"/>
  <c r="E150" i="2" s="1"/>
  <c r="C149" i="2"/>
  <c r="D149" i="2" s="1"/>
  <c r="E149" i="2" s="1"/>
  <c r="C142" i="2"/>
  <c r="D142" i="2" s="1"/>
  <c r="E142" i="2" s="1"/>
  <c r="C141" i="2"/>
  <c r="D141" i="2" s="1"/>
  <c r="E141" i="2" s="1"/>
  <c r="C136" i="2"/>
  <c r="D136" i="2" s="1"/>
  <c r="E136" i="2" s="1"/>
  <c r="C134" i="2"/>
  <c r="D134" i="2" s="1"/>
  <c r="E134" i="2" s="1"/>
  <c r="C128" i="2"/>
  <c r="D128" i="2" s="1"/>
  <c r="E128" i="2" s="1"/>
  <c r="C126" i="2"/>
  <c r="D126" i="2" s="1"/>
  <c r="E126" i="2" s="1"/>
  <c r="C125" i="2"/>
  <c r="D125" i="2" s="1"/>
  <c r="E125" i="2" s="1"/>
  <c r="C124" i="2"/>
  <c r="D124" i="2" s="1"/>
  <c r="E124" i="2" s="1"/>
  <c r="C120" i="2"/>
  <c r="D120" i="2" s="1"/>
  <c r="E120" i="2" s="1"/>
  <c r="C118" i="2"/>
  <c r="D118" i="2" s="1"/>
  <c r="E118" i="2" s="1"/>
  <c r="C116" i="2"/>
  <c r="D116" i="2" s="1"/>
  <c r="E116" i="2" s="1"/>
  <c r="C112" i="2"/>
  <c r="D112" i="2" s="1"/>
  <c r="E112" i="2" s="1"/>
  <c r="C110" i="2"/>
  <c r="D110" i="2" s="1"/>
  <c r="E110" i="2" s="1"/>
  <c r="C109" i="2"/>
  <c r="D109" i="2" s="1"/>
  <c r="E109" i="2" s="1"/>
  <c r="C108" i="2"/>
  <c r="D108" i="2" s="1"/>
  <c r="E108" i="2" s="1"/>
  <c r="C104" i="2"/>
  <c r="D104" i="2" s="1"/>
  <c r="C103" i="2"/>
  <c r="D103" i="2" s="1"/>
  <c r="E103" i="2" s="1"/>
  <c r="C100" i="2"/>
  <c r="D100" i="2" s="1"/>
  <c r="E100" i="2" s="1"/>
  <c r="C96" i="2"/>
  <c r="D96" i="2" s="1"/>
  <c r="E96" i="2" s="1"/>
  <c r="C94" i="2"/>
  <c r="D94" i="2" s="1"/>
  <c r="E94" i="2" s="1"/>
  <c r="C93" i="2"/>
  <c r="D93" i="2" s="1"/>
  <c r="E93" i="2" s="1"/>
  <c r="C92" i="2"/>
  <c r="D92" i="2" s="1"/>
  <c r="E92" i="2" s="1"/>
  <c r="C88" i="2"/>
  <c r="D88" i="2" s="1"/>
  <c r="E88" i="2" s="1"/>
  <c r="C87" i="2"/>
  <c r="D87" i="2" s="1"/>
  <c r="E87" i="2" s="1"/>
  <c r="C86" i="2"/>
  <c r="D86" i="2" s="1"/>
  <c r="E86" i="2" s="1"/>
  <c r="C85" i="2"/>
  <c r="D85" i="2" s="1"/>
  <c r="E85" i="2" s="1"/>
  <c r="C84" i="2"/>
  <c r="D84" i="2" s="1"/>
  <c r="E84" i="2" s="1"/>
  <c r="C80" i="2"/>
  <c r="D80" i="2" s="1"/>
  <c r="E80" i="2" s="1"/>
  <c r="C77" i="2"/>
  <c r="D77" i="2" s="1"/>
  <c r="E77" i="2" s="1"/>
  <c r="C76" i="2"/>
  <c r="D76" i="2" s="1"/>
  <c r="E76" i="2" s="1"/>
  <c r="C72" i="2"/>
  <c r="D72" i="2" s="1"/>
  <c r="E72" i="2" s="1"/>
  <c r="C71" i="2"/>
  <c r="D71" i="2" s="1"/>
  <c r="E71" i="2" s="1"/>
  <c r="C70" i="2"/>
  <c r="D70" i="2" s="1"/>
  <c r="E70" i="2" s="1"/>
  <c r="C69" i="2"/>
  <c r="D69" i="2" s="1"/>
  <c r="E69" i="2" s="1"/>
  <c r="C68" i="2"/>
  <c r="D68" i="2" s="1"/>
  <c r="E68" i="2" s="1"/>
  <c r="C64" i="2"/>
  <c r="D64" i="2" s="1"/>
  <c r="E64" i="2" s="1"/>
  <c r="C63" i="2"/>
  <c r="D63" i="2" s="1"/>
  <c r="E63" i="2" s="1"/>
  <c r="C62" i="2"/>
  <c r="D62" i="2" s="1"/>
  <c r="E62" i="2" s="1"/>
  <c r="C60" i="2"/>
  <c r="D60" i="2" s="1"/>
  <c r="E60" i="2" s="1"/>
  <c r="C56" i="2"/>
  <c r="D56" i="2" s="1"/>
  <c r="E56" i="2" s="1"/>
  <c r="C55" i="2"/>
  <c r="D55" i="2" s="1"/>
  <c r="E55" i="2" s="1"/>
  <c r="C53" i="2"/>
  <c r="D53" i="2" s="1"/>
  <c r="E53" i="2" s="1"/>
  <c r="C52" i="2"/>
  <c r="D52" i="2" s="1"/>
  <c r="E52" i="2" s="1"/>
  <c r="C48" i="2"/>
  <c r="D48" i="2" s="1"/>
  <c r="E48" i="2" s="1"/>
  <c r="C47" i="2"/>
  <c r="D47" i="2" s="1"/>
  <c r="E47" i="2" s="1"/>
  <c r="C46" i="2"/>
  <c r="D46" i="2" s="1"/>
  <c r="E46" i="2" s="1"/>
  <c r="C45" i="2"/>
  <c r="D45" i="2" s="1"/>
  <c r="E45" i="2" s="1"/>
  <c r="C40" i="2"/>
  <c r="D40" i="2" s="1"/>
  <c r="E40" i="2" s="1"/>
  <c r="C38" i="2"/>
  <c r="D38" i="2" s="1"/>
  <c r="E38" i="2" s="1"/>
  <c r="C37" i="2"/>
  <c r="D37" i="2" s="1"/>
  <c r="E37" i="2" s="1"/>
  <c r="C36" i="2"/>
  <c r="D36" i="2" s="1"/>
  <c r="E36" i="2" s="1"/>
  <c r="C32" i="2"/>
  <c r="D32" i="2" s="1"/>
  <c r="E32" i="2" s="1"/>
  <c r="C31" i="2"/>
  <c r="D31" i="2" s="1"/>
  <c r="E31" i="2" s="1"/>
  <c r="C30" i="2"/>
  <c r="D30" i="2" s="1"/>
  <c r="E30" i="2" s="1"/>
  <c r="C28" i="2"/>
  <c r="D28" i="2" s="1"/>
  <c r="E28" i="2" s="1"/>
  <c r="C26" i="2"/>
  <c r="D26" i="2" s="1"/>
  <c r="E26" i="2" s="1"/>
  <c r="C24" i="2"/>
  <c r="D24" i="2" s="1"/>
  <c r="E24" i="2" s="1"/>
  <c r="C22" i="2"/>
  <c r="D22" i="2" s="1"/>
  <c r="E22" i="2" s="1"/>
  <c r="C21" i="2"/>
  <c r="D21" i="2" s="1"/>
  <c r="E21" i="2" s="1"/>
  <c r="C20" i="2"/>
  <c r="D20" i="2" s="1"/>
  <c r="E20" i="2" s="1"/>
  <c r="C16" i="2"/>
  <c r="D16" i="2" s="1"/>
  <c r="E16" i="2" s="1"/>
  <c r="C15" i="2"/>
  <c r="D15" i="2" s="1"/>
  <c r="E15" i="2" s="1"/>
  <c r="C14" i="2"/>
  <c r="D14" i="2" s="1"/>
  <c r="E14" i="2" s="1"/>
  <c r="C13" i="2"/>
  <c r="D13" i="2" s="1"/>
  <c r="E13" i="2" s="1"/>
  <c r="C12" i="2"/>
  <c r="D12" i="2" s="1"/>
  <c r="E12" i="2" s="1"/>
  <c r="C8" i="2"/>
  <c r="D8" i="2" s="1"/>
  <c r="E8" i="2" s="1"/>
  <c r="C6" i="2"/>
  <c r="D6" i="2" s="1"/>
  <c r="E6" i="2" s="1"/>
  <c r="C5" i="2"/>
  <c r="D5" i="2" s="1"/>
  <c r="E5" i="2" s="1"/>
  <c r="C4" i="2"/>
  <c r="D4" i="2" s="1"/>
  <c r="E4" i="2" s="1"/>
  <c r="B2" i="2"/>
  <c r="C2" i="2" s="1"/>
  <c r="F13" i="2" l="1"/>
  <c r="F149" i="2"/>
  <c r="F133" i="2"/>
  <c r="F109" i="2"/>
  <c r="F101" i="2"/>
  <c r="F85" i="2"/>
  <c r="F61" i="2"/>
  <c r="F37" i="2"/>
  <c r="E145" i="2"/>
  <c r="F146" i="2"/>
  <c r="E104" i="2"/>
  <c r="F105" i="2"/>
  <c r="E97" i="2"/>
  <c r="F98" i="2"/>
  <c r="E81" i="2"/>
  <c r="F82" i="2"/>
  <c r="E73" i="2"/>
  <c r="F74" i="2"/>
  <c r="E49" i="2"/>
  <c r="F50" i="2"/>
  <c r="E25" i="2"/>
  <c r="F26" i="2"/>
  <c r="F141" i="2"/>
  <c r="F125" i="2"/>
  <c r="F117" i="2"/>
  <c r="F93" i="2"/>
  <c r="F77" i="2"/>
  <c r="F69" i="2"/>
  <c r="F53" i="2"/>
  <c r="F45" i="2"/>
  <c r="F29" i="2"/>
  <c r="F21" i="2"/>
  <c r="F148" i="2"/>
  <c r="F140" i="2"/>
  <c r="F132" i="2"/>
  <c r="F124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147" i="2"/>
  <c r="F139" i="2"/>
  <c r="F131" i="2"/>
  <c r="F123" i="2"/>
  <c r="F115" i="2"/>
  <c r="F107" i="2"/>
  <c r="F99" i="2"/>
  <c r="F91" i="2"/>
  <c r="F83" i="2"/>
  <c r="F75" i="2"/>
  <c r="F67" i="2"/>
  <c r="F59" i="2"/>
  <c r="F51" i="2"/>
  <c r="F43" i="2"/>
  <c r="F35" i="2"/>
  <c r="F27" i="2"/>
  <c r="F19" i="2"/>
  <c r="F11" i="2"/>
  <c r="F138" i="2"/>
  <c r="F130" i="2"/>
  <c r="F122" i="2"/>
  <c r="F114" i="2"/>
  <c r="F106" i="2"/>
  <c r="F90" i="2"/>
  <c r="F66" i="2"/>
  <c r="F58" i="2"/>
  <c r="F42" i="2"/>
  <c r="F34" i="2"/>
  <c r="F18" i="2"/>
  <c r="F10" i="2"/>
  <c r="F145" i="2"/>
  <c r="F137" i="2"/>
  <c r="F129" i="2"/>
  <c r="F121" i="2"/>
  <c r="F113" i="2"/>
  <c r="F97" i="2"/>
  <c r="F89" i="2"/>
  <c r="F81" i="2"/>
  <c r="F73" i="2"/>
  <c r="F65" i="2"/>
  <c r="F57" i="2"/>
  <c r="F49" i="2"/>
  <c r="F41" i="2"/>
  <c r="F33" i="2"/>
  <c r="F25" i="2"/>
  <c r="F17" i="2"/>
  <c r="F9" i="2"/>
  <c r="F144" i="2"/>
  <c r="F136" i="2"/>
  <c r="F128" i="2"/>
  <c r="F120" i="2"/>
  <c r="F112" i="2"/>
  <c r="F104" i="2"/>
  <c r="F96" i="2"/>
  <c r="F88" i="2"/>
  <c r="F80" i="2"/>
  <c r="F72" i="2"/>
  <c r="F64" i="2"/>
  <c r="F56" i="2"/>
  <c r="F48" i="2"/>
  <c r="F40" i="2"/>
  <c r="F32" i="2"/>
  <c r="F24" i="2"/>
  <c r="F16" i="2"/>
  <c r="F8" i="2"/>
  <c r="F151" i="2"/>
  <c r="F143" i="2"/>
  <c r="F135" i="2"/>
  <c r="F127" i="2"/>
  <c r="F119" i="2"/>
  <c r="F111" i="2"/>
  <c r="F103" i="2"/>
  <c r="F95" i="2"/>
  <c r="F87" i="2"/>
  <c r="F79" i="2"/>
  <c r="F71" i="2"/>
  <c r="F63" i="2"/>
  <c r="F55" i="2"/>
  <c r="F47" i="2"/>
  <c r="F39" i="2"/>
  <c r="F31" i="2"/>
  <c r="F23" i="2"/>
  <c r="F15" i="2"/>
  <c r="F7" i="2"/>
  <c r="F150" i="2"/>
  <c r="F142" i="2"/>
  <c r="F134" i="2"/>
  <c r="F126" i="2"/>
  <c r="F118" i="2"/>
  <c r="F110" i="2"/>
  <c r="F102" i="2"/>
  <c r="F94" i="2"/>
  <c r="F86" i="2"/>
  <c r="F78" i="2"/>
  <c r="F70" i="2"/>
  <c r="F62" i="2"/>
  <c r="F54" i="2"/>
  <c r="F46" i="2"/>
  <c r="F38" i="2"/>
  <c r="F30" i="2"/>
  <c r="F22" i="2"/>
  <c r="F14" i="2"/>
  <c r="F6" i="2"/>
  <c r="F4" i="2"/>
  <c r="F5" i="2"/>
</calcChain>
</file>

<file path=xl/sharedStrings.xml><?xml version="1.0" encoding="utf-8"?>
<sst xmlns="http://schemas.openxmlformats.org/spreadsheetml/2006/main" count="11" uniqueCount="10">
  <si>
    <t>D</t>
  </si>
  <si>
    <t>V</t>
  </si>
  <si>
    <t>R</t>
  </si>
  <si>
    <t>T</t>
  </si>
  <si>
    <t>VCC</t>
  </si>
  <si>
    <t>A</t>
  </si>
  <si>
    <t>B</t>
  </si>
  <si>
    <t>C</t>
  </si>
  <si>
    <t>Rref</t>
  </si>
  <si>
    <t>127,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</si>
</sst>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1" fontId="1" fillId="0" borderId="0" xfId="1" applyNumberFormat="1"/>
    <xf numFmtId="1" fontId="1" fillId="0" borderId="0" xfId="1" applyNumberFormat="1"/>
    <xf numFmtId="164" fontId="1" fillId="0" borderId="0" xfId="1" applyNumberFormat="1"/>
  </cellXfs>
  <cellStyles count="2">
    <cellStyle name="Normal" xfId="0" builtinId="0"/>
    <cellStyle name="Normal 2" xfId="1" xr:uid="{65AF2C19-305A-484E-8B4C-94E88C20314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0" formatCode="General"/>
      <fill>
        <patternFill>
          <bgColor rgb="FFC00000"/>
        </patternFill>
      </fill>
    </dxf>
    <dxf>
      <font>
        <color rgb="FFFF0000"/>
      </font>
      <numFmt numFmtId="2" formatCode="0.00"/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5ADD-1847-488F-92DD-99DFAB8A94CE}">
  <dimension ref="A1:M151"/>
  <sheetViews>
    <sheetView tabSelected="1" workbookViewId="0">
      <selection activeCell="F7" sqref="F7"/>
    </sheetView>
  </sheetViews>
  <sheetFormatPr defaultRowHeight="15" x14ac:dyDescent="0.25"/>
  <cols>
    <col min="1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0</v>
      </c>
      <c r="M1" s="1" t="s">
        <v>8</v>
      </c>
    </row>
    <row r="2" spans="1:13" x14ac:dyDescent="0.25">
      <c r="A2" s="1">
        <v>0</v>
      </c>
      <c r="B2" s="1">
        <f>A2/256*$H$2</f>
        <v>0</v>
      </c>
      <c r="C2" s="1">
        <f>B2/$H$2/(1-B2/$H$2)*10000</f>
        <v>0</v>
      </c>
      <c r="E2" s="1" t="s">
        <v>9</v>
      </c>
      <c r="H2" s="1">
        <v>3.3</v>
      </c>
      <c r="I2" s="2">
        <v>3.354016E-3</v>
      </c>
      <c r="J2" s="2">
        <v>2.5698499999999999E-4</v>
      </c>
      <c r="K2" s="2">
        <v>2.6201309999999999E-6</v>
      </c>
      <c r="L2" s="2">
        <v>6.3830910000000002E-8</v>
      </c>
      <c r="M2" s="2">
        <v>10000</v>
      </c>
    </row>
    <row r="3" spans="1:13" x14ac:dyDescent="0.25">
      <c r="A3" s="1">
        <v>105</v>
      </c>
      <c r="B3" s="1">
        <f>A3/(2^12-1)*$H$2</f>
        <v>8.4615384615384606E-2</v>
      </c>
      <c r="C3" s="1">
        <f t="shared" ref="C3:C66" si="0">B3/$H$2/(1-B3/$H$2)*10000</f>
        <v>263.15789473684208</v>
      </c>
      <c r="D3" s="3">
        <f>1/($I$2+$J$2*LN(C3/$M$2)+$K$2*LN(C3/$M$2)^2+$L$2*LN(C3/$M$2)^3)-273</f>
        <v>135.02866093608606</v>
      </c>
      <c r="E3" s="3" t="str">
        <f>CONCATENATE(ROUND(MAX(-128,MIN(127,D3)),0),",")</f>
        <v>127,</v>
      </c>
    </row>
    <row r="4" spans="1:13" x14ac:dyDescent="0.25">
      <c r="A4" s="1">
        <v>110</v>
      </c>
      <c r="B4" s="1">
        <f t="shared" ref="B4:B67" si="1">A4/(2^12-1)*$H$2</f>
        <v>8.8644688644688649E-2</v>
      </c>
      <c r="C4" s="1">
        <f t="shared" si="0"/>
        <v>276.0351317440402</v>
      </c>
      <c r="D4" s="3">
        <f t="shared" ref="D4:D67" si="2">1/($I$2+$J$2*LN(C4/$M$2)+$K$2*LN(C4/$M$2)^2+$L$2*LN(C4/$M$2)^3)-273</f>
        <v>133.12432225544745</v>
      </c>
      <c r="E4" s="3" t="str">
        <f t="shared" ref="E4:E67" si="3">CONCATENATE(ROUND(MAX(-128,MIN(127,D4)),0),",")</f>
        <v>127,</v>
      </c>
      <c r="F4" s="4">
        <f>D3-D4</f>
        <v>1.9043386806386025</v>
      </c>
    </row>
    <row r="5" spans="1:13" x14ac:dyDescent="0.25">
      <c r="A5" s="1">
        <v>115</v>
      </c>
      <c r="B5" s="1">
        <f t="shared" si="1"/>
        <v>9.2673992673992678E-2</v>
      </c>
      <c r="C5" s="1">
        <f t="shared" si="0"/>
        <v>288.94472361809051</v>
      </c>
      <c r="D5" s="3">
        <f t="shared" si="2"/>
        <v>131.31757948255068</v>
      </c>
      <c r="E5" s="3" t="str">
        <f t="shared" si="3"/>
        <v>127,</v>
      </c>
      <c r="F5" s="4">
        <f t="shared" ref="F5:F68" si="4">D4-D5</f>
        <v>1.8067427728967687</v>
      </c>
    </row>
    <row r="6" spans="1:13" x14ac:dyDescent="0.25">
      <c r="A6" s="1">
        <v>120</v>
      </c>
      <c r="B6" s="1">
        <f t="shared" si="1"/>
        <v>9.6703296703296693E-2</v>
      </c>
      <c r="C6" s="1">
        <f t="shared" si="0"/>
        <v>301.88679245283021</v>
      </c>
      <c r="D6" s="3">
        <f t="shared" si="2"/>
        <v>129.59936167462115</v>
      </c>
      <c r="E6" s="3" t="str">
        <f t="shared" si="3"/>
        <v>127,</v>
      </c>
      <c r="F6" s="4">
        <f t="shared" si="4"/>
        <v>1.718217807929534</v>
      </c>
    </row>
    <row r="7" spans="1:13" x14ac:dyDescent="0.25">
      <c r="A7" s="1">
        <v>125</v>
      </c>
      <c r="B7" s="1">
        <f t="shared" si="1"/>
        <v>0.10073260073260072</v>
      </c>
      <c r="C7" s="1">
        <f t="shared" si="0"/>
        <v>314.86146095717885</v>
      </c>
      <c r="D7" s="3">
        <f t="shared" si="2"/>
        <v>127.96177882565974</v>
      </c>
      <c r="E7" s="3" t="str">
        <f t="shared" si="3"/>
        <v>127,</v>
      </c>
      <c r="F7" s="4">
        <f t="shared" si="4"/>
        <v>1.637582848961415</v>
      </c>
    </row>
    <row r="8" spans="1:13" x14ac:dyDescent="0.25">
      <c r="A8" s="1">
        <v>130</v>
      </c>
      <c r="B8" s="1">
        <f t="shared" si="1"/>
        <v>0.10476190476190475</v>
      </c>
      <c r="C8" s="1">
        <f t="shared" si="0"/>
        <v>327.86885245901635</v>
      </c>
      <c r="D8" s="3">
        <f t="shared" si="2"/>
        <v>126.39792767641882</v>
      </c>
      <c r="E8" s="3" t="str">
        <f t="shared" si="3"/>
        <v>126,</v>
      </c>
      <c r="F8" s="4">
        <f t="shared" si="4"/>
        <v>1.5638511492409179</v>
      </c>
    </row>
    <row r="9" spans="1:13" x14ac:dyDescent="0.25">
      <c r="A9" s="1">
        <v>135</v>
      </c>
      <c r="B9" s="1">
        <f t="shared" si="1"/>
        <v>0.10879120879120879</v>
      </c>
      <c r="C9" s="1">
        <f t="shared" si="0"/>
        <v>340.90909090909088</v>
      </c>
      <c r="D9" s="3">
        <f t="shared" si="2"/>
        <v>124.90173559611088</v>
      </c>
      <c r="E9" s="3" t="str">
        <f t="shared" si="3"/>
        <v>125,</v>
      </c>
      <c r="F9" s="4">
        <f t="shared" si="4"/>
        <v>1.4961920803079352</v>
      </c>
    </row>
    <row r="10" spans="1:13" x14ac:dyDescent="0.25">
      <c r="A10" s="1">
        <v>140</v>
      </c>
      <c r="B10" s="1">
        <f t="shared" si="1"/>
        <v>0.11282051282051282</v>
      </c>
      <c r="C10" s="1">
        <f t="shared" si="0"/>
        <v>353.98230088495581</v>
      </c>
      <c r="D10" s="3">
        <f t="shared" si="2"/>
        <v>123.46783395648333</v>
      </c>
      <c r="E10" s="3" t="str">
        <f t="shared" si="3"/>
        <v>123,</v>
      </c>
      <c r="F10" s="4">
        <f t="shared" si="4"/>
        <v>1.4339016396275497</v>
      </c>
    </row>
    <row r="11" spans="1:13" x14ac:dyDescent="0.25">
      <c r="A11" s="1">
        <v>145</v>
      </c>
      <c r="B11" s="1">
        <f t="shared" si="1"/>
        <v>0.11684981684981684</v>
      </c>
      <c r="C11" s="1">
        <f t="shared" si="0"/>
        <v>367.08860759493672</v>
      </c>
      <c r="D11" s="3">
        <f t="shared" si="2"/>
        <v>122.09145458579718</v>
      </c>
      <c r="E11" s="3" t="str">
        <f t="shared" si="3"/>
        <v>122,</v>
      </c>
      <c r="F11" s="4">
        <f t="shared" si="4"/>
        <v>1.376379370686152</v>
      </c>
    </row>
    <row r="12" spans="1:13" x14ac:dyDescent="0.25">
      <c r="A12" s="1">
        <v>150</v>
      </c>
      <c r="B12" s="1">
        <f t="shared" si="1"/>
        <v>0.12087912087912088</v>
      </c>
      <c r="C12" s="1">
        <f t="shared" si="0"/>
        <v>380.22813688212926</v>
      </c>
      <c r="D12" s="3">
        <f t="shared" si="2"/>
        <v>120.76834445487776</v>
      </c>
      <c r="E12" s="3" t="str">
        <f t="shared" si="3"/>
        <v>121,</v>
      </c>
      <c r="F12" s="4">
        <f t="shared" si="4"/>
        <v>1.3231101309194173</v>
      </c>
    </row>
    <row r="13" spans="1:13" x14ac:dyDescent="0.25">
      <c r="A13" s="1">
        <v>155</v>
      </c>
      <c r="B13" s="1">
        <f t="shared" si="1"/>
        <v>0.12490842490842489</v>
      </c>
      <c r="C13" s="1">
        <f t="shared" si="0"/>
        <v>393.40101522842633</v>
      </c>
      <c r="D13" s="3">
        <f t="shared" si="2"/>
        <v>119.49469489143058</v>
      </c>
      <c r="E13" s="3" t="str">
        <f t="shared" si="3"/>
        <v>119,</v>
      </c>
      <c r="F13" s="4">
        <f t="shared" si="4"/>
        <v>1.2736495634471794</v>
      </c>
    </row>
    <row r="14" spans="1:13" x14ac:dyDescent="0.25">
      <c r="A14" s="1">
        <v>160</v>
      </c>
      <c r="B14" s="1">
        <f t="shared" si="1"/>
        <v>0.12893772893772892</v>
      </c>
      <c r="C14" s="1">
        <f t="shared" si="0"/>
        <v>406.60736975857691</v>
      </c>
      <c r="D14" s="3">
        <f t="shared" si="2"/>
        <v>118.26708246509003</v>
      </c>
      <c r="E14" s="3" t="str">
        <f t="shared" si="3"/>
        <v>118,</v>
      </c>
      <c r="F14" s="4">
        <f t="shared" si="4"/>
        <v>1.2276124263405563</v>
      </c>
    </row>
    <row r="15" spans="1:13" x14ac:dyDescent="0.25">
      <c r="A15" s="1">
        <v>165</v>
      </c>
      <c r="B15" s="1">
        <f t="shared" si="1"/>
        <v>0.13296703296703297</v>
      </c>
      <c r="C15" s="1">
        <f t="shared" si="0"/>
        <v>419.84732824427482</v>
      </c>
      <c r="D15" s="3">
        <f t="shared" si="2"/>
        <v>117.08241931845168</v>
      </c>
      <c r="E15" s="3" t="str">
        <f t="shared" si="3"/>
        <v>117,</v>
      </c>
      <c r="F15" s="4">
        <f t="shared" si="4"/>
        <v>1.1846631466383428</v>
      </c>
    </row>
    <row r="16" spans="1:13" x14ac:dyDescent="0.25">
      <c r="A16" s="1">
        <v>170</v>
      </c>
      <c r="B16" s="1">
        <f t="shared" si="1"/>
        <v>0.13699633699633698</v>
      </c>
      <c r="C16" s="1">
        <f t="shared" si="0"/>
        <v>433.12101910828022</v>
      </c>
      <c r="D16" s="3">
        <f t="shared" si="2"/>
        <v>115.93791119728235</v>
      </c>
      <c r="E16" s="3" t="str">
        <f t="shared" si="3"/>
        <v>116,</v>
      </c>
      <c r="F16" s="4">
        <f t="shared" si="4"/>
        <v>1.1445081211693378</v>
      </c>
    </row>
    <row r="17" spans="1:6" x14ac:dyDescent="0.25">
      <c r="A17" s="1">
        <v>175</v>
      </c>
      <c r="B17" s="1">
        <f t="shared" si="1"/>
        <v>0.14102564102564102</v>
      </c>
      <c r="C17" s="1">
        <f t="shared" si="0"/>
        <v>446.42857142857144</v>
      </c>
      <c r="D17" s="3">
        <f t="shared" si="2"/>
        <v>114.83102179746555</v>
      </c>
      <c r="E17" s="3" t="str">
        <f t="shared" si="3"/>
        <v>115,</v>
      </c>
      <c r="F17" s="4">
        <f t="shared" si="4"/>
        <v>1.1068893998167937</v>
      </c>
    </row>
    <row r="18" spans="1:6" x14ac:dyDescent="0.25">
      <c r="A18" s="1">
        <v>180</v>
      </c>
      <c r="B18" s="1">
        <f t="shared" si="1"/>
        <v>0.14505494505494507</v>
      </c>
      <c r="C18" s="1">
        <f t="shared" si="0"/>
        <v>459.77011494252872</v>
      </c>
      <c r="D18" s="3">
        <f t="shared" si="2"/>
        <v>113.75944232647623</v>
      </c>
      <c r="E18" s="3" t="str">
        <f t="shared" si="3"/>
        <v>114,</v>
      </c>
      <c r="F18" s="4">
        <f t="shared" si="4"/>
        <v>1.0715794709893203</v>
      </c>
    </row>
    <row r="19" spans="1:6" x14ac:dyDescent="0.25">
      <c r="A19" s="1">
        <v>185</v>
      </c>
      <c r="B19" s="1">
        <f t="shared" si="1"/>
        <v>0.14908424908424908</v>
      </c>
      <c r="C19" s="1">
        <f t="shared" si="0"/>
        <v>473.14578005115084</v>
      </c>
      <c r="D19" s="3">
        <f t="shared" si="2"/>
        <v>112.72106539447157</v>
      </c>
      <c r="E19" s="3" t="str">
        <f t="shared" si="3"/>
        <v>113,</v>
      </c>
      <c r="F19" s="4">
        <f t="shared" si="4"/>
        <v>1.0383769320046667</v>
      </c>
    </row>
    <row r="20" spans="1:6" x14ac:dyDescent="0.25">
      <c r="A20" s="1">
        <v>190</v>
      </c>
      <c r="B20" s="1">
        <f t="shared" si="1"/>
        <v>0.15311355311355312</v>
      </c>
      <c r="C20" s="1">
        <f t="shared" si="0"/>
        <v>486.55569782330355</v>
      </c>
      <c r="D20" s="3">
        <f t="shared" si="2"/>
        <v>111.71396251988494</v>
      </c>
      <c r="E20" s="3" t="str">
        <f t="shared" si="3"/>
        <v>112,</v>
      </c>
      <c r="F20" s="4">
        <f t="shared" si="4"/>
        <v>1.0071028745866215</v>
      </c>
    </row>
    <row r="21" spans="1:6" x14ac:dyDescent="0.25">
      <c r="A21" s="1">
        <v>200</v>
      </c>
      <c r="B21" s="1">
        <f t="shared" si="1"/>
        <v>0.16117216117216115</v>
      </c>
      <c r="C21" s="1">
        <f t="shared" si="0"/>
        <v>513.47881899871629</v>
      </c>
      <c r="D21" s="3">
        <f t="shared" si="2"/>
        <v>109.78664534736362</v>
      </c>
      <c r="E21" s="3" t="str">
        <f t="shared" si="3"/>
        <v>110,</v>
      </c>
      <c r="F21" s="4">
        <f t="shared" si="4"/>
        <v>1.9273171725213274</v>
      </c>
    </row>
    <row r="22" spans="1:6" x14ac:dyDescent="0.25">
      <c r="A22" s="1">
        <v>210</v>
      </c>
      <c r="B22" s="1">
        <f t="shared" si="1"/>
        <v>0.16923076923076921</v>
      </c>
      <c r="C22" s="1">
        <f t="shared" si="0"/>
        <v>540.54054054054052</v>
      </c>
      <c r="D22" s="3">
        <f t="shared" si="2"/>
        <v>107.96496246637321</v>
      </c>
      <c r="E22" s="3" t="str">
        <f t="shared" si="3"/>
        <v>108,</v>
      </c>
      <c r="F22" s="4">
        <f t="shared" si="4"/>
        <v>1.8216828809904086</v>
      </c>
    </row>
    <row r="23" spans="1:6" x14ac:dyDescent="0.25">
      <c r="A23" s="1">
        <v>220</v>
      </c>
      <c r="B23" s="1">
        <f t="shared" si="1"/>
        <v>0.1772893772893773</v>
      </c>
      <c r="C23" s="1">
        <f t="shared" si="0"/>
        <v>567.74193548387098</v>
      </c>
      <c r="D23" s="3">
        <f t="shared" si="2"/>
        <v>106.23823675557759</v>
      </c>
      <c r="E23" s="3" t="str">
        <f t="shared" si="3"/>
        <v>106,</v>
      </c>
      <c r="F23" s="4">
        <f t="shared" si="4"/>
        <v>1.7267257107956198</v>
      </c>
    </row>
    <row r="24" spans="1:6" x14ac:dyDescent="0.25">
      <c r="A24" s="1">
        <v>230</v>
      </c>
      <c r="B24" s="1">
        <f t="shared" si="1"/>
        <v>0.18534798534798536</v>
      </c>
      <c r="C24" s="1">
        <f t="shared" si="0"/>
        <v>595.08408796895219</v>
      </c>
      <c r="D24" s="3">
        <f t="shared" si="2"/>
        <v>104.59729838004483</v>
      </c>
      <c r="E24" s="3" t="str">
        <f t="shared" si="3"/>
        <v>105,</v>
      </c>
      <c r="F24" s="4">
        <f t="shared" si="4"/>
        <v>1.6409383755327553</v>
      </c>
    </row>
    <row r="25" spans="1:6" x14ac:dyDescent="0.25">
      <c r="A25" s="1">
        <v>240</v>
      </c>
      <c r="B25" s="1">
        <f t="shared" si="1"/>
        <v>0.19340659340659339</v>
      </c>
      <c r="C25" s="1">
        <f t="shared" si="0"/>
        <v>622.56809338521407</v>
      </c>
      <c r="D25" s="3">
        <f t="shared" si="2"/>
        <v>103.03421670131485</v>
      </c>
      <c r="E25" s="3" t="str">
        <f t="shared" si="3"/>
        <v>103,</v>
      </c>
      <c r="F25" s="4">
        <f t="shared" si="4"/>
        <v>1.5630816787299864</v>
      </c>
    </row>
    <row r="26" spans="1:6" x14ac:dyDescent="0.25">
      <c r="A26" s="1">
        <v>250</v>
      </c>
      <c r="B26" s="1">
        <f t="shared" si="1"/>
        <v>0.20146520146520144</v>
      </c>
      <c r="C26" s="1">
        <f t="shared" si="0"/>
        <v>650.19505851755514</v>
      </c>
      <c r="D26" s="3">
        <f t="shared" si="2"/>
        <v>101.54208888942873</v>
      </c>
      <c r="E26" s="3" t="str">
        <f t="shared" si="3"/>
        <v>102,</v>
      </c>
      <c r="F26" s="4">
        <f t="shared" si="4"/>
        <v>1.492127811886121</v>
      </c>
    </row>
    <row r="27" spans="1:6" x14ac:dyDescent="0.25">
      <c r="A27" s="1">
        <v>260</v>
      </c>
      <c r="B27" s="1">
        <f t="shared" si="1"/>
        <v>0.2095238095238095</v>
      </c>
      <c r="C27" s="1">
        <f t="shared" si="0"/>
        <v>677.96610169491521</v>
      </c>
      <c r="D27" s="3">
        <f t="shared" si="2"/>
        <v>100.11487148766878</v>
      </c>
      <c r="E27" s="3" t="str">
        <f t="shared" si="3"/>
        <v>100,</v>
      </c>
      <c r="F27" s="4">
        <f t="shared" si="4"/>
        <v>1.4272174017599468</v>
      </c>
    </row>
    <row r="28" spans="1:6" x14ac:dyDescent="0.25">
      <c r="A28" s="1">
        <v>270</v>
      </c>
      <c r="B28" s="1">
        <f t="shared" si="1"/>
        <v>0.21758241758241759</v>
      </c>
      <c r="C28" s="1">
        <f t="shared" si="0"/>
        <v>705.88235294117646</v>
      </c>
      <c r="D28" s="3">
        <f t="shared" si="2"/>
        <v>98.747244908332107</v>
      </c>
      <c r="E28" s="3" t="str">
        <f t="shared" si="3"/>
        <v>99,</v>
      </c>
      <c r="F28" s="4">
        <f t="shared" si="4"/>
        <v>1.3676265793366724</v>
      </c>
    </row>
    <row r="29" spans="1:6" x14ac:dyDescent="0.25">
      <c r="A29" s="1">
        <v>280</v>
      </c>
      <c r="B29" s="1">
        <f t="shared" si="1"/>
        <v>0.22564102564102564</v>
      </c>
      <c r="C29" s="1">
        <f t="shared" si="0"/>
        <v>733.94495412844037</v>
      </c>
      <c r="D29" s="3">
        <f t="shared" si="2"/>
        <v>97.434503455928734</v>
      </c>
      <c r="E29" s="3" t="str">
        <f t="shared" si="3"/>
        <v>97,</v>
      </c>
      <c r="F29" s="4">
        <f t="shared" si="4"/>
        <v>1.3127414524033725</v>
      </c>
    </row>
    <row r="30" spans="1:6" x14ac:dyDescent="0.25">
      <c r="A30" s="1">
        <v>290</v>
      </c>
      <c r="B30" s="1">
        <f t="shared" si="1"/>
        <v>0.23369963369963367</v>
      </c>
      <c r="C30" s="1">
        <f t="shared" si="0"/>
        <v>762.15505913272</v>
      </c>
      <c r="D30" s="3">
        <f t="shared" si="2"/>
        <v>96.172465340356609</v>
      </c>
      <c r="E30" s="3" t="str">
        <f t="shared" si="3"/>
        <v>96,</v>
      </c>
      <c r="F30" s="4">
        <f t="shared" si="4"/>
        <v>1.2620381155721248</v>
      </c>
    </row>
    <row r="31" spans="1:6" x14ac:dyDescent="0.25">
      <c r="A31" s="1">
        <v>300</v>
      </c>
      <c r="B31" s="1">
        <f t="shared" si="1"/>
        <v>0.24175824175824176</v>
      </c>
      <c r="C31" s="1">
        <f t="shared" si="0"/>
        <v>790.51383399209487</v>
      </c>
      <c r="D31" s="3">
        <f t="shared" si="2"/>
        <v>94.95739849101858</v>
      </c>
      <c r="E31" s="3" t="str">
        <f t="shared" si="3"/>
        <v>95,</v>
      </c>
      <c r="F31" s="4">
        <f t="shared" si="4"/>
        <v>1.2150668493380294</v>
      </c>
    </row>
    <row r="32" spans="1:6" x14ac:dyDescent="0.25">
      <c r="A32" s="1">
        <v>310</v>
      </c>
      <c r="B32" s="1">
        <f t="shared" si="1"/>
        <v>0.24981684981684979</v>
      </c>
      <c r="C32" s="1">
        <f t="shared" si="0"/>
        <v>819.02245706737108</v>
      </c>
      <c r="D32" s="3">
        <f t="shared" si="2"/>
        <v>93.785958969412491</v>
      </c>
      <c r="E32" s="3" t="str">
        <f t="shared" si="3"/>
        <v>94,</v>
      </c>
      <c r="F32" s="4">
        <f t="shared" si="4"/>
        <v>1.1714395216060893</v>
      </c>
    </row>
    <row r="33" spans="1:6" x14ac:dyDescent="0.25">
      <c r="A33" s="1">
        <v>320</v>
      </c>
      <c r="B33" s="1">
        <f t="shared" si="1"/>
        <v>0.25787545787545785</v>
      </c>
      <c r="C33" s="1">
        <f t="shared" si="0"/>
        <v>847.68211920529802</v>
      </c>
      <c r="D33" s="3">
        <f t="shared" si="2"/>
        <v>92.655139507978447</v>
      </c>
      <c r="E33" s="3" t="str">
        <f t="shared" si="3"/>
        <v>93,</v>
      </c>
      <c r="F33" s="4">
        <f t="shared" si="4"/>
        <v>1.1308194614340437</v>
      </c>
    </row>
    <row r="34" spans="1:6" x14ac:dyDescent="0.25">
      <c r="A34" s="1">
        <v>330</v>
      </c>
      <c r="B34" s="1">
        <f t="shared" si="1"/>
        <v>0.26593406593406593</v>
      </c>
      <c r="C34" s="1">
        <f t="shared" si="0"/>
        <v>876.49402390438252</v>
      </c>
      <c r="D34" s="3">
        <f t="shared" si="2"/>
        <v>91.562226249348214</v>
      </c>
      <c r="E34" s="3" t="str">
        <f t="shared" si="3"/>
        <v>92,</v>
      </c>
      <c r="F34" s="4">
        <f t="shared" si="4"/>
        <v>1.092913258630233</v>
      </c>
    </row>
    <row r="35" spans="1:6" x14ac:dyDescent="0.25">
      <c r="A35" s="1">
        <v>340</v>
      </c>
      <c r="B35" s="1">
        <f t="shared" si="1"/>
        <v>0.27399267399267396</v>
      </c>
      <c r="C35" s="1">
        <f t="shared" si="0"/>
        <v>905.4593874833555</v>
      </c>
      <c r="D35" s="3">
        <f t="shared" si="2"/>
        <v>90.504762173039751</v>
      </c>
      <c r="E35" s="3" t="str">
        <f t="shared" si="3"/>
        <v>91,</v>
      </c>
      <c r="F35" s="4">
        <f t="shared" si="4"/>
        <v>1.0574640763084631</v>
      </c>
    </row>
    <row r="36" spans="1:6" x14ac:dyDescent="0.25">
      <c r="A36" s="1">
        <v>350</v>
      </c>
      <c r="B36" s="1">
        <f t="shared" si="1"/>
        <v>0.28205128205128205</v>
      </c>
      <c r="C36" s="1">
        <f t="shared" si="0"/>
        <v>934.57943925233656</v>
      </c>
      <c r="D36" s="3">
        <f t="shared" si="2"/>
        <v>89.48051601159699</v>
      </c>
      <c r="E36" s="3" t="str">
        <f t="shared" si="3"/>
        <v>89,</v>
      </c>
      <c r="F36" s="4">
        <f t="shared" si="4"/>
        <v>1.0242461614427611</v>
      </c>
    </row>
    <row r="37" spans="1:6" x14ac:dyDescent="0.25">
      <c r="A37" s="1">
        <v>370</v>
      </c>
      <c r="B37" s="1">
        <f t="shared" si="1"/>
        <v>0.29816849816849816</v>
      </c>
      <c r="C37" s="1">
        <f t="shared" si="0"/>
        <v>993.28859060402692</v>
      </c>
      <c r="D37" s="3">
        <f t="shared" si="2"/>
        <v>87.52372559445763</v>
      </c>
      <c r="E37" s="3" t="str">
        <f t="shared" si="3"/>
        <v>88,</v>
      </c>
      <c r="F37" s="4">
        <f t="shared" si="4"/>
        <v>1.9567904171393593</v>
      </c>
    </row>
    <row r="38" spans="1:6" x14ac:dyDescent="0.25">
      <c r="A38" s="1">
        <v>390</v>
      </c>
      <c r="B38" s="1">
        <f t="shared" si="1"/>
        <v>0.31428571428571422</v>
      </c>
      <c r="C38" s="1">
        <f t="shared" si="0"/>
        <v>1052.6315789473683</v>
      </c>
      <c r="D38" s="3">
        <f t="shared" si="2"/>
        <v>85.677600322090996</v>
      </c>
      <c r="E38" s="3" t="str">
        <f t="shared" si="3"/>
        <v>86,</v>
      </c>
      <c r="F38" s="4">
        <f t="shared" si="4"/>
        <v>1.8461252723666348</v>
      </c>
    </row>
    <row r="39" spans="1:6" x14ac:dyDescent="0.25">
      <c r="A39" s="1">
        <v>410</v>
      </c>
      <c r="B39" s="1">
        <f t="shared" si="1"/>
        <v>0.33040293040293039</v>
      </c>
      <c r="C39" s="1">
        <f t="shared" si="0"/>
        <v>1112.6187245590231</v>
      </c>
      <c r="D39" s="3">
        <f t="shared" si="2"/>
        <v>83.930139943970232</v>
      </c>
      <c r="E39" s="3" t="str">
        <f t="shared" si="3"/>
        <v>84,</v>
      </c>
      <c r="F39" s="4">
        <f t="shared" si="4"/>
        <v>1.7474603781207634</v>
      </c>
    </row>
    <row r="40" spans="1:6" x14ac:dyDescent="0.25">
      <c r="A40" s="1">
        <v>430</v>
      </c>
      <c r="B40" s="1">
        <f t="shared" si="1"/>
        <v>0.34652014652014651</v>
      </c>
      <c r="C40" s="1">
        <f t="shared" si="0"/>
        <v>1173.2605729877216</v>
      </c>
      <c r="D40" s="3">
        <f t="shared" si="2"/>
        <v>82.271151207001139</v>
      </c>
      <c r="E40" s="3" t="str">
        <f t="shared" si="3"/>
        <v>82,</v>
      </c>
      <c r="F40" s="4">
        <f t="shared" si="4"/>
        <v>1.6589887369690928</v>
      </c>
    </row>
    <row r="41" spans="1:6" x14ac:dyDescent="0.25">
      <c r="A41" s="1">
        <v>450</v>
      </c>
      <c r="B41" s="1">
        <f t="shared" si="1"/>
        <v>0.36263736263736263</v>
      </c>
      <c r="C41" s="1">
        <f t="shared" si="0"/>
        <v>1234.5679012345679</v>
      </c>
      <c r="D41" s="3">
        <f t="shared" si="2"/>
        <v>80.691905566024275</v>
      </c>
      <c r="E41" s="3" t="str">
        <f t="shared" si="3"/>
        <v>81,</v>
      </c>
      <c r="F41" s="4">
        <f t="shared" si="4"/>
        <v>1.5792456409768647</v>
      </c>
    </row>
    <row r="42" spans="1:6" x14ac:dyDescent="0.25">
      <c r="A42" s="1">
        <v>470</v>
      </c>
      <c r="B42" s="1">
        <f t="shared" si="1"/>
        <v>0.37875457875457874</v>
      </c>
      <c r="C42" s="1">
        <f t="shared" si="0"/>
        <v>1296.5517241379312</v>
      </c>
      <c r="D42" s="3">
        <f t="shared" si="2"/>
        <v>79.184873822918348</v>
      </c>
      <c r="E42" s="3" t="str">
        <f t="shared" si="3"/>
        <v>79,</v>
      </c>
      <c r="F42" s="4">
        <f t="shared" si="4"/>
        <v>1.5070317431059266</v>
      </c>
    </row>
    <row r="43" spans="1:6" x14ac:dyDescent="0.25">
      <c r="A43" s="1">
        <v>490</v>
      </c>
      <c r="B43" s="1">
        <f t="shared" si="1"/>
        <v>0.39487179487179486</v>
      </c>
      <c r="C43" s="1">
        <f t="shared" si="0"/>
        <v>1359.2233009708737</v>
      </c>
      <c r="D43" s="3">
        <f t="shared" si="2"/>
        <v>77.743517914927793</v>
      </c>
      <c r="E43" s="3" t="str">
        <f t="shared" si="3"/>
        <v>78,</v>
      </c>
      <c r="F43" s="4">
        <f t="shared" si="4"/>
        <v>1.4413559079905554</v>
      </c>
    </row>
    <row r="44" spans="1:6" x14ac:dyDescent="0.25">
      <c r="A44" s="1">
        <v>510</v>
      </c>
      <c r="B44" s="1">
        <f t="shared" si="1"/>
        <v>0.41098901098901097</v>
      </c>
      <c r="C44" s="1">
        <f t="shared" si="0"/>
        <v>1422.5941422594144</v>
      </c>
      <c r="D44" s="3">
        <f t="shared" si="2"/>
        <v>76.362125747064454</v>
      </c>
      <c r="E44" s="3" t="str">
        <f t="shared" si="3"/>
        <v>76,</v>
      </c>
      <c r="F44" s="4">
        <f t="shared" si="4"/>
        <v>1.3813921678633392</v>
      </c>
    </row>
    <row r="45" spans="1:6" x14ac:dyDescent="0.25">
      <c r="A45" s="1">
        <v>530</v>
      </c>
      <c r="B45" s="1">
        <f t="shared" si="1"/>
        <v>0.42710622710622714</v>
      </c>
      <c r="C45" s="1">
        <f t="shared" si="0"/>
        <v>1486.6760168302947</v>
      </c>
      <c r="D45" s="3">
        <f t="shared" si="2"/>
        <v>75.035678854006221</v>
      </c>
      <c r="E45" s="3" t="str">
        <f t="shared" si="3"/>
        <v>75,</v>
      </c>
      <c r="F45" s="4">
        <f t="shared" si="4"/>
        <v>1.3264468930582325</v>
      </c>
    </row>
    <row r="46" spans="1:6" x14ac:dyDescent="0.25">
      <c r="A46" s="1">
        <v>550</v>
      </c>
      <c r="B46" s="1">
        <f t="shared" si="1"/>
        <v>0.4432234432234432</v>
      </c>
      <c r="C46" s="1">
        <f t="shared" si="0"/>
        <v>1551.48095909732</v>
      </c>
      <c r="D46" s="3">
        <f t="shared" si="2"/>
        <v>73.759745389879811</v>
      </c>
      <c r="E46" s="3" t="str">
        <f t="shared" si="3"/>
        <v>74,</v>
      </c>
      <c r="F46" s="4">
        <f t="shared" si="4"/>
        <v>1.2759334641264104</v>
      </c>
    </row>
    <row r="47" spans="1:6" x14ac:dyDescent="0.25">
      <c r="A47" s="1">
        <v>570</v>
      </c>
      <c r="B47" s="1">
        <f t="shared" si="1"/>
        <v>0.45934065934065932</v>
      </c>
      <c r="C47" s="1">
        <f t="shared" si="0"/>
        <v>1617.0212765957444</v>
      </c>
      <c r="D47" s="3">
        <f t="shared" si="2"/>
        <v>72.530392865462943</v>
      </c>
      <c r="E47" s="3" t="str">
        <f t="shared" si="3"/>
        <v>73,</v>
      </c>
      <c r="F47" s="4">
        <f t="shared" si="4"/>
        <v>1.2293525244168677</v>
      </c>
    </row>
    <row r="48" spans="1:6" x14ac:dyDescent="0.25">
      <c r="A48" s="1">
        <v>590</v>
      </c>
      <c r="B48" s="1">
        <f t="shared" si="1"/>
        <v>0.47545787545787538</v>
      </c>
      <c r="C48" s="1">
        <f t="shared" si="0"/>
        <v>1683.3095577746074</v>
      </c>
      <c r="D48" s="3">
        <f t="shared" si="2"/>
        <v>71.344116432146564</v>
      </c>
      <c r="E48" s="3" t="str">
        <f t="shared" si="3"/>
        <v>71,</v>
      </c>
      <c r="F48" s="4">
        <f t="shared" si="4"/>
        <v>1.1862764333163796</v>
      </c>
    </row>
    <row r="49" spans="1:6" x14ac:dyDescent="0.25">
      <c r="A49" s="1">
        <v>610</v>
      </c>
      <c r="B49" s="1">
        <f t="shared" si="1"/>
        <v>0.49157509157509155</v>
      </c>
      <c r="C49" s="1">
        <f t="shared" si="0"/>
        <v>1750.3586800573889</v>
      </c>
      <c r="D49" s="3">
        <f t="shared" si="2"/>
        <v>70.197779515967909</v>
      </c>
      <c r="E49" s="3" t="str">
        <f t="shared" si="3"/>
        <v>70,</v>
      </c>
      <c r="F49" s="4">
        <f t="shared" si="4"/>
        <v>1.1463369161786545</v>
      </c>
    </row>
    <row r="50" spans="1:6" x14ac:dyDescent="0.25">
      <c r="A50" s="1">
        <v>630</v>
      </c>
      <c r="B50" s="1">
        <f t="shared" si="1"/>
        <v>0.50769230769230766</v>
      </c>
      <c r="C50" s="1">
        <f t="shared" si="0"/>
        <v>1818.1818181818182</v>
      </c>
      <c r="D50" s="3">
        <f t="shared" si="2"/>
        <v>69.088564344363078</v>
      </c>
      <c r="E50" s="3" t="str">
        <f t="shared" si="3"/>
        <v>69,</v>
      </c>
      <c r="F50" s="4">
        <f t="shared" si="4"/>
        <v>1.1092151716048306</v>
      </c>
    </row>
    <row r="51" spans="1:6" x14ac:dyDescent="0.25">
      <c r="A51" s="1">
        <v>650</v>
      </c>
      <c r="B51" s="1">
        <f t="shared" si="1"/>
        <v>0.52380952380952372</v>
      </c>
      <c r="C51" s="1">
        <f t="shared" si="0"/>
        <v>1886.7924528301885</v>
      </c>
      <c r="D51" s="3">
        <f t="shared" si="2"/>
        <v>68.013930458850439</v>
      </c>
      <c r="E51" s="3" t="str">
        <f t="shared" si="3"/>
        <v>68,</v>
      </c>
      <c r="F51" s="4">
        <f t="shared" si="4"/>
        <v>1.0746338855126396</v>
      </c>
    </row>
    <row r="52" spans="1:6" x14ac:dyDescent="0.25">
      <c r="A52" s="1">
        <v>670</v>
      </c>
      <c r="B52" s="1">
        <f t="shared" si="1"/>
        <v>0.5399267399267399</v>
      </c>
      <c r="C52" s="1">
        <f t="shared" si="0"/>
        <v>1956.2043795620436</v>
      </c>
      <c r="D52" s="3">
        <f t="shared" si="2"/>
        <v>66.971579721098976</v>
      </c>
      <c r="E52" s="3" t="str">
        <f t="shared" si="3"/>
        <v>67,</v>
      </c>
      <c r="F52" s="4">
        <f t="shared" si="4"/>
        <v>1.0423507377514625</v>
      </c>
    </row>
    <row r="53" spans="1:6" x14ac:dyDescent="0.25">
      <c r="A53" s="1">
        <v>690</v>
      </c>
      <c r="B53" s="1">
        <f t="shared" si="1"/>
        <v>0.55604395604395607</v>
      </c>
      <c r="C53" s="1">
        <f t="shared" si="0"/>
        <v>2026.4317180616742</v>
      </c>
      <c r="D53" s="3">
        <f t="shared" si="2"/>
        <v>65.95942663453917</v>
      </c>
      <c r="E53" s="3" t="str">
        <f t="shared" si="3"/>
        <v>66,</v>
      </c>
      <c r="F53" s="4">
        <f t="shared" si="4"/>
        <v>1.0121530865598061</v>
      </c>
    </row>
    <row r="54" spans="1:6" x14ac:dyDescent="0.25">
      <c r="A54" s="1">
        <v>731</v>
      </c>
      <c r="B54" s="1">
        <f t="shared" si="1"/>
        <v>0.58908424908424906</v>
      </c>
      <c r="C54" s="1">
        <f t="shared" si="0"/>
        <v>2173.0083234244948</v>
      </c>
      <c r="D54" s="3">
        <f t="shared" si="2"/>
        <v>63.971090503346034</v>
      </c>
      <c r="E54" s="3" t="str">
        <f t="shared" si="3"/>
        <v>64,</v>
      </c>
      <c r="F54" s="4">
        <f t="shared" si="4"/>
        <v>1.9883361311931367</v>
      </c>
    </row>
    <row r="55" spans="1:6" x14ac:dyDescent="0.25">
      <c r="A55" s="1">
        <v>772</v>
      </c>
      <c r="B55" s="1">
        <f t="shared" si="1"/>
        <v>0.62212454212454205</v>
      </c>
      <c r="C55" s="1">
        <f t="shared" si="0"/>
        <v>2323.2019259705085</v>
      </c>
      <c r="D55" s="3">
        <f t="shared" si="2"/>
        <v>62.087567186635113</v>
      </c>
      <c r="E55" s="3" t="str">
        <f t="shared" si="3"/>
        <v>62,</v>
      </c>
      <c r="F55" s="4">
        <f t="shared" si="4"/>
        <v>1.8835233167109209</v>
      </c>
    </row>
    <row r="56" spans="1:6" x14ac:dyDescent="0.25">
      <c r="A56" s="1">
        <v>813</v>
      </c>
      <c r="B56" s="1">
        <f t="shared" si="1"/>
        <v>0.65516483516483515</v>
      </c>
      <c r="C56" s="1">
        <f t="shared" si="0"/>
        <v>2477.148080438757</v>
      </c>
      <c r="D56" s="3">
        <f t="shared" si="2"/>
        <v>60.296873910609008</v>
      </c>
      <c r="E56" s="3" t="str">
        <f t="shared" si="3"/>
        <v>60,</v>
      </c>
      <c r="F56" s="4">
        <f t="shared" si="4"/>
        <v>1.7906932760261043</v>
      </c>
    </row>
    <row r="57" spans="1:6" x14ac:dyDescent="0.25">
      <c r="A57" s="1">
        <v>854</v>
      </c>
      <c r="B57" s="1">
        <f t="shared" si="1"/>
        <v>0.68820512820512825</v>
      </c>
      <c r="C57" s="1">
        <f t="shared" si="0"/>
        <v>2634.9892008639313</v>
      </c>
      <c r="D57" s="3">
        <f t="shared" si="2"/>
        <v>58.588872316733159</v>
      </c>
      <c r="E57" s="3" t="str">
        <f t="shared" si="3"/>
        <v>59,</v>
      </c>
      <c r="F57" s="4">
        <f t="shared" si="4"/>
        <v>1.7080015938758493</v>
      </c>
    </row>
    <row r="58" spans="1:6" x14ac:dyDescent="0.25">
      <c r="A58" s="1">
        <v>895</v>
      </c>
      <c r="B58" s="1">
        <f t="shared" si="1"/>
        <v>0.72124542124542124</v>
      </c>
      <c r="C58" s="1">
        <f t="shared" si="0"/>
        <v>2796.875</v>
      </c>
      <c r="D58" s="3">
        <f t="shared" si="2"/>
        <v>56.954908679151345</v>
      </c>
      <c r="E58" s="3" t="str">
        <f t="shared" si="3"/>
        <v>57,</v>
      </c>
      <c r="F58" s="4">
        <f t="shared" si="4"/>
        <v>1.6339636375818145</v>
      </c>
    </row>
    <row r="59" spans="1:6" x14ac:dyDescent="0.25">
      <c r="A59" s="1">
        <v>936</v>
      </c>
      <c r="B59" s="1">
        <f t="shared" si="1"/>
        <v>0.75428571428571423</v>
      </c>
      <c r="C59" s="1">
        <f t="shared" si="0"/>
        <v>2962.9629629629626</v>
      </c>
      <c r="D59" s="3">
        <f t="shared" si="2"/>
        <v>55.38753717005568</v>
      </c>
      <c r="E59" s="3" t="str">
        <f t="shared" si="3"/>
        <v>55,</v>
      </c>
      <c r="F59" s="4">
        <f t="shared" si="4"/>
        <v>1.5673715090956648</v>
      </c>
    </row>
    <row r="60" spans="1:6" x14ac:dyDescent="0.25">
      <c r="A60" s="1">
        <v>977</v>
      </c>
      <c r="B60" s="1">
        <f t="shared" si="1"/>
        <v>0.78732600732600733</v>
      </c>
      <c r="C60" s="1">
        <f t="shared" si="0"/>
        <v>3133.4188582424631</v>
      </c>
      <c r="D60" s="3">
        <f t="shared" si="2"/>
        <v>53.880304248725224</v>
      </c>
      <c r="E60" s="3" t="str">
        <f t="shared" si="3"/>
        <v>54,</v>
      </c>
      <c r="F60" s="4">
        <f t="shared" si="4"/>
        <v>1.5072329213304556</v>
      </c>
    </row>
    <row r="61" spans="1:6" x14ac:dyDescent="0.25">
      <c r="A61" s="1">
        <v>1018</v>
      </c>
      <c r="B61" s="1">
        <f t="shared" si="1"/>
        <v>0.82036630036630032</v>
      </c>
      <c r="C61" s="1">
        <f t="shared" si="0"/>
        <v>3308.4172895677611</v>
      </c>
      <c r="D61" s="3">
        <f t="shared" si="2"/>
        <v>52.427578701486595</v>
      </c>
      <c r="E61" s="3" t="str">
        <f t="shared" si="3"/>
        <v>52,</v>
      </c>
      <c r="F61" s="4">
        <f t="shared" si="4"/>
        <v>1.4527255472386287</v>
      </c>
    </row>
    <row r="62" spans="1:6" x14ac:dyDescent="0.25">
      <c r="A62" s="1">
        <v>1059</v>
      </c>
      <c r="B62" s="1">
        <f t="shared" si="1"/>
        <v>0.85340659340659342</v>
      </c>
      <c r="C62" s="1">
        <f t="shared" si="0"/>
        <v>3488.142292490119</v>
      </c>
      <c r="D62" s="3">
        <f t="shared" si="2"/>
        <v>51.024416232788496</v>
      </c>
      <c r="E62" s="3" t="str">
        <f t="shared" si="3"/>
        <v>51,</v>
      </c>
      <c r="F62" s="4">
        <f t="shared" si="4"/>
        <v>1.403162468698099</v>
      </c>
    </row>
    <row r="63" spans="1:6" x14ac:dyDescent="0.25">
      <c r="A63" s="1">
        <v>1100</v>
      </c>
      <c r="B63" s="1">
        <f t="shared" si="1"/>
        <v>0.88644688644688641</v>
      </c>
      <c r="C63" s="1">
        <f t="shared" si="0"/>
        <v>3672.7879799666107</v>
      </c>
      <c r="D63" s="3">
        <f t="shared" si="2"/>
        <v>49.666450525206244</v>
      </c>
      <c r="E63" s="3" t="str">
        <f t="shared" si="3"/>
        <v>50,</v>
      </c>
      <c r="F63" s="4">
        <f t="shared" si="4"/>
        <v>1.3579657075822524</v>
      </c>
    </row>
    <row r="64" spans="1:6" x14ac:dyDescent="0.25">
      <c r="A64" s="1">
        <v>1141</v>
      </c>
      <c r="B64" s="1">
        <f t="shared" si="1"/>
        <v>0.91948717948717951</v>
      </c>
      <c r="C64" s="1">
        <f t="shared" si="0"/>
        <v>3862.5592417061612</v>
      </c>
      <c r="D64" s="3">
        <f t="shared" si="2"/>
        <v>48.349804802821325</v>
      </c>
      <c r="E64" s="3" t="str">
        <f t="shared" si="3"/>
        <v>48,</v>
      </c>
      <c r="F64" s="4">
        <f t="shared" si="4"/>
        <v>1.3166457223849193</v>
      </c>
    </row>
    <row r="65" spans="1:6" x14ac:dyDescent="0.25">
      <c r="A65" s="1">
        <v>1182</v>
      </c>
      <c r="B65" s="1">
        <f t="shared" si="1"/>
        <v>0.95252747252747239</v>
      </c>
      <c r="C65" s="1">
        <f t="shared" si="0"/>
        <v>4057.6725025746646</v>
      </c>
      <c r="D65" s="3">
        <f t="shared" si="2"/>
        <v>47.071019439396025</v>
      </c>
      <c r="E65" s="3" t="str">
        <f t="shared" si="3"/>
        <v>47,</v>
      </c>
      <c r="F65" s="4">
        <f t="shared" si="4"/>
        <v>1.2787853634252997</v>
      </c>
    </row>
    <row r="66" spans="1:6" x14ac:dyDescent="0.25">
      <c r="A66" s="1">
        <v>1223</v>
      </c>
      <c r="B66" s="1">
        <f t="shared" si="1"/>
        <v>0.98556776556776549</v>
      </c>
      <c r="C66" s="1">
        <f t="shared" si="0"/>
        <v>4258.3565459610027</v>
      </c>
      <c r="D66" s="3">
        <f t="shared" si="2"/>
        <v>45.826992240498782</v>
      </c>
      <c r="E66" s="3" t="str">
        <f t="shared" si="3"/>
        <v>46,</v>
      </c>
      <c r="F66" s="4">
        <f t="shared" si="4"/>
        <v>1.2440271988972427</v>
      </c>
    </row>
    <row r="67" spans="1:6" x14ac:dyDescent="0.25">
      <c r="A67" s="1">
        <v>1264</v>
      </c>
      <c r="B67" s="1">
        <f t="shared" si="1"/>
        <v>1.0186080586080586</v>
      </c>
      <c r="C67" s="1">
        <f t="shared" ref="C67:C130" si="5">B67/$H$2/(1-B67/$H$2)*10000</f>
        <v>4464.8534086895088</v>
      </c>
      <c r="D67" s="3">
        <f t="shared" si="2"/>
        <v>44.614928823837886</v>
      </c>
      <c r="E67" s="3" t="str">
        <f t="shared" si="3"/>
        <v>45,</v>
      </c>
      <c r="F67" s="4">
        <f t="shared" si="4"/>
        <v>1.2120634166608966</v>
      </c>
    </row>
    <row r="68" spans="1:6" x14ac:dyDescent="0.25">
      <c r="A68" s="1">
        <v>1305</v>
      </c>
      <c r="B68" s="1">
        <f t="shared" ref="B68:B131" si="6">A68/(2^12-1)*$H$2</f>
        <v>1.0516483516483515</v>
      </c>
      <c r="C68" s="1">
        <f t="shared" si="5"/>
        <v>4677.4193548387093</v>
      </c>
      <c r="D68" s="3">
        <f t="shared" ref="D68:D131" si="7">1/($I$2+$J$2*LN(C68/$M$2)+$K$2*LN(C68/$M$2)^2+$L$2*LN(C68/$M$2)^3)-273</f>
        <v>43.432301110085291</v>
      </c>
      <c r="E68" s="3" t="str">
        <f t="shared" ref="E68:E131" si="8">CONCATENATE(ROUND(MAX(-128,MIN(127,D68)),0),",")</f>
        <v>43,</v>
      </c>
      <c r="F68" s="4">
        <f t="shared" si="4"/>
        <v>1.1826277137525949</v>
      </c>
    </row>
    <row r="69" spans="1:6" x14ac:dyDescent="0.25">
      <c r="A69" s="1">
        <v>1346</v>
      </c>
      <c r="B69" s="1">
        <f t="shared" si="6"/>
        <v>1.0846886446886446</v>
      </c>
      <c r="C69" s="1">
        <f t="shared" si="5"/>
        <v>4896.3259367042556</v>
      </c>
      <c r="D69" s="3">
        <f t="shared" si="7"/>
        <v>42.276812376074076</v>
      </c>
      <c r="E69" s="3" t="str">
        <f t="shared" si="8"/>
        <v>42,</v>
      </c>
      <c r="F69" s="4">
        <f t="shared" ref="F69:F132" si="9">D68-D69</f>
        <v>1.1554887340112145</v>
      </c>
    </row>
    <row r="70" spans="1:6" x14ac:dyDescent="0.25">
      <c r="A70" s="1">
        <v>1387</v>
      </c>
      <c r="B70" s="1">
        <f t="shared" si="6"/>
        <v>1.1177289377289377</v>
      </c>
      <c r="C70" s="1">
        <f t="shared" si="5"/>
        <v>5121.8611521418024</v>
      </c>
      <c r="D70" s="3">
        <f t="shared" si="7"/>
        <v>41.146367654220683</v>
      </c>
      <c r="E70" s="3" t="str">
        <f t="shared" si="8"/>
        <v>41,</v>
      </c>
      <c r="F70" s="4">
        <f t="shared" si="9"/>
        <v>1.1304447218533937</v>
      </c>
    </row>
    <row r="71" spans="1:6" x14ac:dyDescent="0.25">
      <c r="A71" s="1">
        <v>1428</v>
      </c>
      <c r="B71" s="1">
        <f t="shared" si="6"/>
        <v>1.1507692307692305</v>
      </c>
      <c r="C71" s="1">
        <f t="shared" si="5"/>
        <v>5354.3307086614159</v>
      </c>
      <c r="D71" s="3">
        <f t="shared" si="7"/>
        <v>40.039048515059847</v>
      </c>
      <c r="E71" s="3" t="str">
        <f t="shared" si="8"/>
        <v>40,</v>
      </c>
      <c r="F71" s="4">
        <f t="shared" si="9"/>
        <v>1.1073191391608361</v>
      </c>
    </row>
    <row r="72" spans="1:6" x14ac:dyDescent="0.25">
      <c r="A72" s="1">
        <v>1469</v>
      </c>
      <c r="B72" s="1">
        <f t="shared" si="6"/>
        <v>1.1838095238095236</v>
      </c>
      <c r="C72" s="1">
        <f t="shared" si="5"/>
        <v>5594.0594059405921</v>
      </c>
      <c r="D72" s="3">
        <f t="shared" si="7"/>
        <v>38.953091464341298</v>
      </c>
      <c r="E72" s="3" t="str">
        <f t="shared" si="8"/>
        <v>39,</v>
      </c>
      <c r="F72" s="4">
        <f t="shared" si="9"/>
        <v>1.0859570507185481</v>
      </c>
    </row>
    <row r="73" spans="1:6" x14ac:dyDescent="0.25">
      <c r="A73" s="1">
        <v>1510</v>
      </c>
      <c r="B73" s="1">
        <f t="shared" si="6"/>
        <v>1.216849816849817</v>
      </c>
      <c r="C73" s="1">
        <f t="shared" si="5"/>
        <v>5841.3926499032896</v>
      </c>
      <c r="D73" s="3">
        <f t="shared" si="7"/>
        <v>37.886869336960672</v>
      </c>
      <c r="E73" s="3" t="str">
        <f t="shared" si="8"/>
        <v>38,</v>
      </c>
      <c r="F73" s="4">
        <f t="shared" si="9"/>
        <v>1.0662221273806267</v>
      </c>
    </row>
    <row r="74" spans="1:6" x14ac:dyDescent="0.25">
      <c r="A74" s="1">
        <v>1551</v>
      </c>
      <c r="B74" s="1">
        <f t="shared" si="6"/>
        <v>1.2498901098901098</v>
      </c>
      <c r="C74" s="1">
        <f t="shared" si="5"/>
        <v>6096.6981132075471</v>
      </c>
      <c r="D74" s="3">
        <f t="shared" si="7"/>
        <v>36.838875187793462</v>
      </c>
      <c r="E74" s="3" t="str">
        <f t="shared" si="8"/>
        <v>37,</v>
      </c>
      <c r="F74" s="4">
        <f t="shared" si="9"/>
        <v>1.0479941491672093</v>
      </c>
    </row>
    <row r="75" spans="1:6" x14ac:dyDescent="0.25">
      <c r="A75" s="1">
        <v>1592</v>
      </c>
      <c r="B75" s="1">
        <f t="shared" si="6"/>
        <v>1.2829304029304029</v>
      </c>
      <c r="C75" s="1">
        <f t="shared" si="5"/>
        <v>6360.3675589292843</v>
      </c>
      <c r="D75" s="3">
        <f t="shared" si="7"/>
        <v>35.807708272165257</v>
      </c>
      <c r="E75" s="3" t="str">
        <f t="shared" si="8"/>
        <v>36,</v>
      </c>
      <c r="F75" s="4">
        <f t="shared" si="9"/>
        <v>1.0311669156282051</v>
      </c>
    </row>
    <row r="76" spans="1:6" x14ac:dyDescent="0.25">
      <c r="A76" s="1">
        <v>1633</v>
      </c>
      <c r="B76" s="1">
        <f t="shared" si="6"/>
        <v>1.315970695970696</v>
      </c>
      <c r="C76" s="1">
        <f t="shared" si="5"/>
        <v>6632.8188464662881</v>
      </c>
      <c r="D76" s="3">
        <f t="shared" si="7"/>
        <v>34.792061782053054</v>
      </c>
      <c r="E76" s="3" t="str">
        <f t="shared" si="8"/>
        <v>35,</v>
      </c>
      <c r="F76" s="4">
        <f t="shared" si="9"/>
        <v>1.0156464901122035</v>
      </c>
    </row>
    <row r="77" spans="1:6" x14ac:dyDescent="0.25">
      <c r="A77" s="1">
        <v>1674</v>
      </c>
      <c r="B77" s="1">
        <f t="shared" si="6"/>
        <v>1.3490109890109889</v>
      </c>
      <c r="C77" s="1">
        <f t="shared" si="5"/>
        <v>6914.4981412639409</v>
      </c>
      <c r="D77" s="3">
        <f t="shared" si="7"/>
        <v>33.790712062546675</v>
      </c>
      <c r="E77" s="3" t="str">
        <f t="shared" si="8"/>
        <v>34,</v>
      </c>
      <c r="F77" s="4">
        <f t="shared" si="9"/>
        <v>1.0013497195063792</v>
      </c>
    </row>
    <row r="78" spans="1:6" x14ac:dyDescent="0.25">
      <c r="A78" s="1">
        <v>1720</v>
      </c>
      <c r="B78" s="1">
        <f t="shared" si="6"/>
        <v>1.386080586080586</v>
      </c>
      <c r="C78" s="1">
        <f t="shared" si="5"/>
        <v>7242.105263157895</v>
      </c>
      <c r="D78" s="3">
        <f t="shared" si="7"/>
        <v>32.682842774861911</v>
      </c>
      <c r="E78" s="3" t="str">
        <f t="shared" si="8"/>
        <v>33,</v>
      </c>
      <c r="F78" s="4">
        <f t="shared" si="9"/>
        <v>1.107869287684764</v>
      </c>
    </row>
    <row r="79" spans="1:6" x14ac:dyDescent="0.25">
      <c r="A79" s="1">
        <v>1766</v>
      </c>
      <c r="B79" s="1">
        <f t="shared" si="6"/>
        <v>1.4231501831501832</v>
      </c>
      <c r="C79" s="1">
        <f t="shared" si="5"/>
        <v>7582.6534993559471</v>
      </c>
      <c r="D79" s="3">
        <f t="shared" si="7"/>
        <v>31.589996776870237</v>
      </c>
      <c r="E79" s="3" t="str">
        <f t="shared" si="8"/>
        <v>32,</v>
      </c>
      <c r="F79" s="4">
        <f t="shared" si="9"/>
        <v>1.0928459979916738</v>
      </c>
    </row>
    <row r="80" spans="1:6" x14ac:dyDescent="0.25">
      <c r="A80" s="1">
        <v>1812</v>
      </c>
      <c r="B80" s="1">
        <f t="shared" si="6"/>
        <v>1.4602197802197801</v>
      </c>
      <c r="C80" s="1">
        <f t="shared" si="5"/>
        <v>7936.9250985545323</v>
      </c>
      <c r="D80" s="3">
        <f t="shared" si="7"/>
        <v>30.510736723075468</v>
      </c>
      <c r="E80" s="3" t="str">
        <f t="shared" si="8"/>
        <v>31,</v>
      </c>
      <c r="F80" s="4">
        <f t="shared" si="9"/>
        <v>1.0792600537947692</v>
      </c>
    </row>
    <row r="81" spans="1:6" x14ac:dyDescent="0.25">
      <c r="A81" s="1">
        <v>1858</v>
      </c>
      <c r="B81" s="1">
        <f t="shared" si="6"/>
        <v>1.4972893772893772</v>
      </c>
      <c r="C81" s="1">
        <f t="shared" si="5"/>
        <v>8305.7666517657563</v>
      </c>
      <c r="D81" s="3">
        <f t="shared" si="7"/>
        <v>29.443703289826544</v>
      </c>
      <c r="E81" s="3" t="str">
        <f t="shared" si="8"/>
        <v>29,</v>
      </c>
      <c r="F81" s="4">
        <f t="shared" si="9"/>
        <v>1.0670334332489233</v>
      </c>
    </row>
    <row r="82" spans="1:6" x14ac:dyDescent="0.25">
      <c r="A82" s="1">
        <v>1904</v>
      </c>
      <c r="B82" s="1">
        <f t="shared" si="6"/>
        <v>1.5343589743589743</v>
      </c>
      <c r="C82" s="1">
        <f t="shared" si="5"/>
        <v>8690.0958466453685</v>
      </c>
      <c r="D82" s="3">
        <f t="shared" si="7"/>
        <v>28.387604532578052</v>
      </c>
      <c r="E82" s="3" t="str">
        <f t="shared" si="8"/>
        <v>28,</v>
      </c>
      <c r="F82" s="4">
        <f t="shared" si="9"/>
        <v>1.0560987572484919</v>
      </c>
    </row>
    <row r="83" spans="1:6" x14ac:dyDescent="0.25">
      <c r="A83" s="1">
        <v>1950</v>
      </c>
      <c r="B83" s="1">
        <f t="shared" si="6"/>
        <v>1.5714285714285712</v>
      </c>
      <c r="C83" s="1">
        <f t="shared" si="5"/>
        <v>9090.9090909090901</v>
      </c>
      <c r="D83" s="3">
        <f t="shared" si="7"/>
        <v>27.341206274034164</v>
      </c>
      <c r="E83" s="3" t="str">
        <f t="shared" si="8"/>
        <v>27,</v>
      </c>
      <c r="F83" s="4">
        <f t="shared" si="9"/>
        <v>1.0463982585438885</v>
      </c>
    </row>
    <row r="84" spans="1:6" x14ac:dyDescent="0.25">
      <c r="A84" s="1">
        <v>1996</v>
      </c>
      <c r="B84" s="1">
        <f t="shared" si="6"/>
        <v>1.6084981684981683</v>
      </c>
      <c r="C84" s="1">
        <f t="shared" si="5"/>
        <v>9509.29013816103</v>
      </c>
      <c r="D84" s="3">
        <f t="shared" si="7"/>
        <v>26.303323341027351</v>
      </c>
      <c r="E84" s="3" t="str">
        <f t="shared" si="8"/>
        <v>26,</v>
      </c>
      <c r="F84" s="4">
        <f t="shared" si="9"/>
        <v>1.0378829330068129</v>
      </c>
    </row>
    <row r="85" spans="1:6" x14ac:dyDescent="0.25">
      <c r="A85" s="1">
        <v>2042</v>
      </c>
      <c r="B85" s="1">
        <f t="shared" si="6"/>
        <v>1.6455677655677654</v>
      </c>
      <c r="C85" s="1">
        <f t="shared" si="5"/>
        <v>9946.4198733560643</v>
      </c>
      <c r="D85" s="3">
        <f t="shared" si="7"/>
        <v>25.272811492543042</v>
      </c>
      <c r="E85" s="3" t="str">
        <f t="shared" si="8"/>
        <v>25,</v>
      </c>
      <c r="F85" s="4">
        <f t="shared" si="9"/>
        <v>1.0305118484843092</v>
      </c>
    </row>
    <row r="86" spans="1:6" x14ac:dyDescent="0.25">
      <c r="A86" s="1">
        <v>2088</v>
      </c>
      <c r="B86" s="1">
        <f t="shared" si="6"/>
        <v>1.6826373626373625</v>
      </c>
      <c r="C86" s="1">
        <f t="shared" si="5"/>
        <v>10403.587443946188</v>
      </c>
      <c r="D86" s="3">
        <f t="shared" si="7"/>
        <v>24.24855990050213</v>
      </c>
      <c r="E86" s="3" t="str">
        <f t="shared" si="8"/>
        <v>24,</v>
      </c>
      <c r="F86" s="4">
        <f t="shared" si="9"/>
        <v>1.0242515920409119</v>
      </c>
    </row>
    <row r="87" spans="1:6" x14ac:dyDescent="0.25">
      <c r="A87" s="1">
        <v>2134</v>
      </c>
      <c r="B87" s="1">
        <f t="shared" si="6"/>
        <v>1.7197069597069596</v>
      </c>
      <c r="C87" s="1">
        <f t="shared" si="5"/>
        <v>10882.202957674659</v>
      </c>
      <c r="D87" s="3">
        <f t="shared" si="7"/>
        <v>23.22948405965451</v>
      </c>
      <c r="E87" s="3" t="str">
        <f t="shared" si="8"/>
        <v>23,</v>
      </c>
      <c r="F87" s="4">
        <f t="shared" si="9"/>
        <v>1.0190758408476199</v>
      </c>
    </row>
    <row r="88" spans="1:6" x14ac:dyDescent="0.25">
      <c r="A88" s="1">
        <v>2180</v>
      </c>
      <c r="B88" s="1">
        <f t="shared" si="6"/>
        <v>1.7567765567765568</v>
      </c>
      <c r="C88" s="1">
        <f t="shared" si="5"/>
        <v>11383.812010443864</v>
      </c>
      <c r="D88" s="3">
        <f t="shared" si="7"/>
        <v>22.214519013863764</v>
      </c>
      <c r="E88" s="3" t="str">
        <f t="shared" si="8"/>
        <v>22,</v>
      </c>
      <c r="F88" s="4">
        <f t="shared" si="9"/>
        <v>1.0149650457907455</v>
      </c>
    </row>
    <row r="89" spans="1:6" x14ac:dyDescent="0.25">
      <c r="A89" s="1">
        <v>2226</v>
      </c>
      <c r="B89" s="1">
        <f t="shared" si="6"/>
        <v>1.7938461538461536</v>
      </c>
      <c r="C89" s="1">
        <f t="shared" si="5"/>
        <v>11910.11235955056</v>
      </c>
      <c r="D89" s="3">
        <f t="shared" si="7"/>
        <v>21.20261279364621</v>
      </c>
      <c r="E89" s="3" t="str">
        <f t="shared" si="8"/>
        <v>21,</v>
      </c>
      <c r="F89" s="4">
        <f t="shared" si="9"/>
        <v>1.0119062202175542</v>
      </c>
    </row>
    <row r="90" spans="1:6" x14ac:dyDescent="0.25">
      <c r="A90" s="1">
        <v>2272</v>
      </c>
      <c r="B90" s="1">
        <f t="shared" si="6"/>
        <v>1.830915750915751</v>
      </c>
      <c r="C90" s="1">
        <f t="shared" si="5"/>
        <v>12462.973121228744</v>
      </c>
      <c r="D90" s="3">
        <f t="shared" si="7"/>
        <v>20.192719964367996</v>
      </c>
      <c r="E90" s="3" t="str">
        <f t="shared" si="8"/>
        <v>20,</v>
      </c>
      <c r="F90" s="4">
        <f t="shared" si="9"/>
        <v>1.0098928292782148</v>
      </c>
    </row>
    <row r="91" spans="1:6" x14ac:dyDescent="0.25">
      <c r="A91" s="1">
        <v>2318</v>
      </c>
      <c r="B91" s="1">
        <f t="shared" si="6"/>
        <v>1.8679853479853479</v>
      </c>
      <c r="C91" s="1">
        <f t="shared" si="5"/>
        <v>13044.456949915588</v>
      </c>
      <c r="D91" s="3">
        <f t="shared" si="7"/>
        <v>19.18379518616598</v>
      </c>
      <c r="E91" s="3" t="str">
        <f t="shared" si="8"/>
        <v>19,</v>
      </c>
      <c r="F91" s="4">
        <f t="shared" si="9"/>
        <v>1.0089247782020152</v>
      </c>
    </row>
    <row r="92" spans="1:6" x14ac:dyDescent="0.25">
      <c r="A92" s="1">
        <v>2364</v>
      </c>
      <c r="B92" s="1">
        <f t="shared" si="6"/>
        <v>1.9050549450549448</v>
      </c>
      <c r="C92" s="1">
        <f t="shared" si="5"/>
        <v>13656.845753899479</v>
      </c>
      <c r="D92" s="3">
        <f t="shared" si="7"/>
        <v>18.174786685468518</v>
      </c>
      <c r="E92" s="3" t="str">
        <f t="shared" si="8"/>
        <v>18,</v>
      </c>
      <c r="F92" s="4">
        <f t="shared" si="9"/>
        <v>1.0090085006974618</v>
      </c>
    </row>
    <row r="93" spans="1:6" x14ac:dyDescent="0.25">
      <c r="A93" s="1">
        <v>2410</v>
      </c>
      <c r="B93" s="1">
        <f t="shared" si="6"/>
        <v>1.9421245421245421</v>
      </c>
      <c r="C93" s="1">
        <f t="shared" si="5"/>
        <v>14302.670623145401</v>
      </c>
      <c r="D93" s="3">
        <f t="shared" si="7"/>
        <v>17.164629533853031</v>
      </c>
      <c r="E93" s="3" t="str">
        <f t="shared" si="8"/>
        <v>17,</v>
      </c>
      <c r="F93" s="4">
        <f t="shared" si="9"/>
        <v>1.0101571516154877</v>
      </c>
    </row>
    <row r="94" spans="1:6" x14ac:dyDescent="0.25">
      <c r="A94" s="1">
        <v>2456</v>
      </c>
      <c r="B94" s="1">
        <f t="shared" si="6"/>
        <v>1.979194139194139</v>
      </c>
      <c r="C94" s="1">
        <f t="shared" si="5"/>
        <v>14984.746796827332</v>
      </c>
      <c r="D94" s="3">
        <f t="shared" si="7"/>
        <v>16.152238622636503</v>
      </c>
      <c r="E94" s="3" t="str">
        <f t="shared" si="8"/>
        <v>16,</v>
      </c>
      <c r="F94" s="4">
        <f t="shared" si="9"/>
        <v>1.0123909112165279</v>
      </c>
    </row>
    <row r="95" spans="1:6" x14ac:dyDescent="0.25">
      <c r="A95" s="1">
        <v>2502</v>
      </c>
      <c r="B95" s="1">
        <f t="shared" si="6"/>
        <v>2.0162637362637361</v>
      </c>
      <c r="C95" s="1">
        <f t="shared" si="5"/>
        <v>15706.214689265531</v>
      </c>
      <c r="D95" s="3">
        <f t="shared" si="7"/>
        <v>15.136501210647282</v>
      </c>
      <c r="E95" s="3" t="str">
        <f t="shared" si="8"/>
        <v>15,</v>
      </c>
      <c r="F95" s="4">
        <f t="shared" si="9"/>
        <v>1.0157374119892211</v>
      </c>
    </row>
    <row r="96" spans="1:6" x14ac:dyDescent="0.25">
      <c r="A96" s="1">
        <v>2548</v>
      </c>
      <c r="B96" s="1">
        <f t="shared" si="6"/>
        <v>2.0533333333333332</v>
      </c>
      <c r="C96" s="1">
        <f t="shared" si="5"/>
        <v>16470.588235294119</v>
      </c>
      <c r="D96" s="3">
        <f t="shared" si="7"/>
        <v>14.116268907468111</v>
      </c>
      <c r="E96" s="3" t="str">
        <f t="shared" si="8"/>
        <v>14,</v>
      </c>
      <c r="F96" s="4">
        <f t="shared" si="9"/>
        <v>1.0202323031791707</v>
      </c>
    </row>
    <row r="97" spans="1:6" x14ac:dyDescent="0.25">
      <c r="A97" s="1">
        <v>2594</v>
      </c>
      <c r="B97" s="1">
        <f t="shared" si="6"/>
        <v>2.0904029304029303</v>
      </c>
      <c r="C97" s="1">
        <f t="shared" si="5"/>
        <v>17281.812125249831</v>
      </c>
      <c r="D97" s="3">
        <f t="shared" si="7"/>
        <v>13.090348934219207</v>
      </c>
      <c r="E97" s="3" t="str">
        <f t="shared" si="8"/>
        <v>13,</v>
      </c>
      <c r="F97" s="4">
        <f t="shared" si="9"/>
        <v>1.0259199732489037</v>
      </c>
    </row>
    <row r="98" spans="1:6" x14ac:dyDescent="0.25">
      <c r="A98" s="1">
        <v>2640</v>
      </c>
      <c r="B98" s="1">
        <f t="shared" si="6"/>
        <v>2.1274725274725275</v>
      </c>
      <c r="C98" s="1">
        <f t="shared" si="5"/>
        <v>18144.32989690722</v>
      </c>
      <c r="D98" s="3">
        <f t="shared" si="7"/>
        <v>12.057494477517821</v>
      </c>
      <c r="E98" s="3" t="str">
        <f t="shared" si="8"/>
        <v>12,</v>
      </c>
      <c r="F98" s="4">
        <f t="shared" si="9"/>
        <v>1.0328544567013864</v>
      </c>
    </row>
    <row r="99" spans="1:6" x14ac:dyDescent="0.25">
      <c r="A99" s="1">
        <v>2686</v>
      </c>
      <c r="B99" s="1">
        <f t="shared" si="6"/>
        <v>2.1645421245421246</v>
      </c>
      <c r="C99" s="1">
        <f t="shared" si="5"/>
        <v>19063.165365507451</v>
      </c>
      <c r="D99" s="3">
        <f t="shared" si="7"/>
        <v>11.016393918013875</v>
      </c>
      <c r="E99" s="3" t="str">
        <f t="shared" si="8"/>
        <v>11,</v>
      </c>
      <c r="F99" s="4">
        <f t="shared" si="9"/>
        <v>1.0411005595039455</v>
      </c>
    </row>
    <row r="100" spans="1:6" x14ac:dyDescent="0.25">
      <c r="A100" s="1">
        <v>2732</v>
      </c>
      <c r="B100" s="1">
        <f t="shared" si="6"/>
        <v>2.2016117216117213</v>
      </c>
      <c r="C100" s="1">
        <f t="shared" si="5"/>
        <v>20044.020542920029</v>
      </c>
      <c r="D100" s="3">
        <f t="shared" si="7"/>
        <v>9.9656586707593533</v>
      </c>
      <c r="E100" s="3" t="str">
        <f t="shared" si="8"/>
        <v>10,</v>
      </c>
      <c r="F100" s="4">
        <f t="shared" si="9"/>
        <v>1.0507352472545222</v>
      </c>
    </row>
    <row r="101" spans="1:6" x14ac:dyDescent="0.25">
      <c r="A101" s="1">
        <v>2778</v>
      </c>
      <c r="B101" s="1">
        <f t="shared" si="6"/>
        <v>2.2386813186813188</v>
      </c>
      <c r="C101" s="1">
        <f t="shared" si="5"/>
        <v>21093.394077448749</v>
      </c>
      <c r="D101" s="3">
        <f t="shared" si="7"/>
        <v>8.9038093177195492</v>
      </c>
      <c r="E101" s="3" t="str">
        <f t="shared" si="8"/>
        <v>9,</v>
      </c>
      <c r="F101" s="4">
        <f t="shared" si="9"/>
        <v>1.0618493530398041</v>
      </c>
    </row>
    <row r="102" spans="1:6" x14ac:dyDescent="0.25">
      <c r="A102" s="1">
        <v>2824</v>
      </c>
      <c r="B102" s="1">
        <f t="shared" si="6"/>
        <v>2.2757509157509155</v>
      </c>
      <c r="C102" s="1">
        <f t="shared" si="5"/>
        <v>22218.72541306058</v>
      </c>
      <c r="D102" s="3">
        <f t="shared" si="7"/>
        <v>7.829259639077975</v>
      </c>
      <c r="E102" s="3" t="str">
        <f t="shared" si="8"/>
        <v>8,</v>
      </c>
      <c r="F102" s="4">
        <f t="shared" si="9"/>
        <v>1.0745496786415742</v>
      </c>
    </row>
    <row r="103" spans="1:6" x14ac:dyDescent="0.25">
      <c r="A103" s="1">
        <v>2870</v>
      </c>
      <c r="B103" s="1">
        <f t="shared" si="6"/>
        <v>2.3128205128205126</v>
      </c>
      <c r="C103" s="1">
        <f t="shared" si="5"/>
        <v>23428.571428571424</v>
      </c>
      <c r="D103" s="3">
        <f t="shared" si="7"/>
        <v>6.7402980542398723</v>
      </c>
      <c r="E103" s="3" t="str">
        <f t="shared" si="8"/>
        <v>7,</v>
      </c>
      <c r="F103" s="4">
        <f t="shared" si="9"/>
        <v>1.0889615848381027</v>
      </c>
    </row>
    <row r="104" spans="1:6" x14ac:dyDescent="0.25">
      <c r="A104" s="1">
        <v>2916</v>
      </c>
      <c r="B104" s="1">
        <f t="shared" si="6"/>
        <v>2.3498901098901097</v>
      </c>
      <c r="C104" s="1">
        <f t="shared" si="5"/>
        <v>24732.824427480919</v>
      </c>
      <c r="D104" s="3">
        <f t="shared" si="7"/>
        <v>5.6350658581970379</v>
      </c>
      <c r="E104" s="3" t="str">
        <f t="shared" si="8"/>
        <v>6,</v>
      </c>
      <c r="F104" s="4">
        <f t="shared" si="9"/>
        <v>1.1052321960428344</v>
      </c>
    </row>
    <row r="105" spans="1:6" x14ac:dyDescent="0.25">
      <c r="A105" s="1">
        <v>2962</v>
      </c>
      <c r="B105" s="1">
        <f t="shared" si="6"/>
        <v>2.3869597069597068</v>
      </c>
      <c r="C105" s="1">
        <f t="shared" si="5"/>
        <v>26142.983230361868</v>
      </c>
      <c r="D105" s="3">
        <f t="shared" si="7"/>
        <v>4.5115314738042684</v>
      </c>
      <c r="E105" s="3" t="str">
        <f t="shared" si="8"/>
        <v>5,</v>
      </c>
      <c r="F105" s="4">
        <f t="shared" si="9"/>
        <v>1.1235343843927694</v>
      </c>
    </row>
    <row r="106" spans="1:6" x14ac:dyDescent="0.25">
      <c r="A106" s="1">
        <v>3008</v>
      </c>
      <c r="B106" s="1">
        <f t="shared" si="6"/>
        <v>2.4240293040293039</v>
      </c>
      <c r="C106" s="1">
        <f t="shared" si="5"/>
        <v>27672.493100275995</v>
      </c>
      <c r="D106" s="3">
        <f t="shared" si="7"/>
        <v>3.3674597209231933</v>
      </c>
      <c r="E106" s="3" t="str">
        <f t="shared" si="8"/>
        <v>3,</v>
      </c>
      <c r="F106" s="4">
        <f t="shared" si="9"/>
        <v>1.1440717528810751</v>
      </c>
    </row>
    <row r="107" spans="1:6" x14ac:dyDescent="0.25">
      <c r="A107" s="1">
        <v>3054</v>
      </c>
      <c r="B107" s="1">
        <f t="shared" si="6"/>
        <v>2.4610989010989011</v>
      </c>
      <c r="C107" s="1">
        <f t="shared" si="5"/>
        <v>29337.175792507209</v>
      </c>
      <c r="D107" s="3">
        <f t="shared" si="7"/>
        <v>2.2003748084213726</v>
      </c>
      <c r="E107" s="3" t="str">
        <f t="shared" si="8"/>
        <v>2,</v>
      </c>
      <c r="F107" s="4">
        <f t="shared" si="9"/>
        <v>1.1670849125018208</v>
      </c>
    </row>
    <row r="108" spans="1:6" x14ac:dyDescent="0.25">
      <c r="A108" s="1">
        <v>3100</v>
      </c>
      <c r="B108" s="1">
        <f t="shared" si="6"/>
        <v>2.4981684981684977</v>
      </c>
      <c r="C108" s="1">
        <f t="shared" si="5"/>
        <v>31155.778894472336</v>
      </c>
      <c r="D108" s="3">
        <f t="shared" si="7"/>
        <v>1.0075153544225373</v>
      </c>
      <c r="E108" s="3" t="str">
        <f t="shared" si="8"/>
        <v>1,</v>
      </c>
      <c r="F108" s="4">
        <f t="shared" si="9"/>
        <v>1.1928594539988353</v>
      </c>
    </row>
    <row r="109" spans="1:6" x14ac:dyDescent="0.25">
      <c r="A109" s="1">
        <v>3146</v>
      </c>
      <c r="B109" s="1">
        <f t="shared" si="6"/>
        <v>2.5352380952380953</v>
      </c>
      <c r="C109" s="1">
        <f t="shared" si="5"/>
        <v>33150.684931506854</v>
      </c>
      <c r="D109" s="3">
        <f t="shared" si="7"/>
        <v>-0.21422081042595664</v>
      </c>
      <c r="E109" s="3" t="str">
        <f t="shared" si="8"/>
        <v>0,</v>
      </c>
      <c r="F109" s="4">
        <f t="shared" si="9"/>
        <v>1.2217361648484939</v>
      </c>
    </row>
    <row r="110" spans="1:6" x14ac:dyDescent="0.25">
      <c r="A110" s="1">
        <v>3192</v>
      </c>
      <c r="B110" s="1">
        <f t="shared" si="6"/>
        <v>2.5723076923076924</v>
      </c>
      <c r="C110" s="1">
        <f t="shared" si="5"/>
        <v>35348.83720930235</v>
      </c>
      <c r="D110" s="3">
        <f t="shared" si="7"/>
        <v>-1.4683450688482367</v>
      </c>
      <c r="E110" s="3" t="str">
        <f t="shared" si="8"/>
        <v>-1,</v>
      </c>
      <c r="F110" s="4">
        <f t="shared" si="9"/>
        <v>1.25412425842228</v>
      </c>
    </row>
    <row r="111" spans="1:6" x14ac:dyDescent="0.25">
      <c r="A111" s="1">
        <v>3238</v>
      </c>
      <c r="B111" s="1">
        <f t="shared" si="6"/>
        <v>2.6093772893772891</v>
      </c>
      <c r="C111" s="1">
        <f t="shared" si="5"/>
        <v>37782.963827304542</v>
      </c>
      <c r="D111" s="3">
        <f t="shared" si="7"/>
        <v>-2.7588637680152033</v>
      </c>
      <c r="E111" s="3" t="str">
        <f t="shared" si="8"/>
        <v>-3,</v>
      </c>
      <c r="F111" s="4">
        <f t="shared" si="9"/>
        <v>1.2905186991669666</v>
      </c>
    </row>
    <row r="112" spans="1:6" x14ac:dyDescent="0.25">
      <c r="A112" s="1">
        <v>3284</v>
      </c>
      <c r="B112" s="1">
        <f t="shared" si="6"/>
        <v>2.6464468864468866</v>
      </c>
      <c r="C112" s="1">
        <f t="shared" si="5"/>
        <v>40493.218249075253</v>
      </c>
      <c r="D112" s="3">
        <f t="shared" si="7"/>
        <v>-4.0903869480470121</v>
      </c>
      <c r="E112" s="3" t="str">
        <f t="shared" si="8"/>
        <v>-4,</v>
      </c>
      <c r="F112" s="4">
        <f t="shared" si="9"/>
        <v>1.3315231800318088</v>
      </c>
    </row>
    <row r="113" spans="1:6" x14ac:dyDescent="0.25">
      <c r="A113" s="1">
        <v>3330</v>
      </c>
      <c r="B113" s="1">
        <f t="shared" si="6"/>
        <v>2.6835164835164833</v>
      </c>
      <c r="C113" s="1">
        <f t="shared" si="5"/>
        <v>43529.411764705881</v>
      </c>
      <c r="D113" s="3">
        <f t="shared" si="7"/>
        <v>-5.4682679742160758</v>
      </c>
      <c r="E113" s="3" t="str">
        <f t="shared" si="8"/>
        <v>-5,</v>
      </c>
      <c r="F113" s="4">
        <f t="shared" si="9"/>
        <v>1.3778810261690637</v>
      </c>
    </row>
    <row r="114" spans="1:6" x14ac:dyDescent="0.25">
      <c r="A114" s="1">
        <v>3376</v>
      </c>
      <c r="B114" s="1">
        <f t="shared" si="6"/>
        <v>2.7205860805860804</v>
      </c>
      <c r="C114" s="1">
        <f t="shared" si="5"/>
        <v>46954.102920723206</v>
      </c>
      <c r="D114" s="3">
        <f t="shared" si="7"/>
        <v>-6.8987853870058871</v>
      </c>
      <c r="E114" s="3" t="str">
        <f t="shared" si="8"/>
        <v>-7,</v>
      </c>
      <c r="F114" s="4">
        <f t="shared" si="9"/>
        <v>1.4305174127898113</v>
      </c>
    </row>
    <row r="115" spans="1:6" x14ac:dyDescent="0.25">
      <c r="A115" s="1">
        <v>3422</v>
      </c>
      <c r="B115" s="1">
        <f t="shared" si="6"/>
        <v>2.7576556776556775</v>
      </c>
      <c r="C115" s="1">
        <f t="shared" si="5"/>
        <v>50846.95393759288</v>
      </c>
      <c r="D115" s="3">
        <f t="shared" si="7"/>
        <v>-8.3893834412664887</v>
      </c>
      <c r="E115" s="3" t="str">
        <f t="shared" si="8"/>
        <v>-8,</v>
      </c>
      <c r="F115" s="4">
        <f t="shared" si="9"/>
        <v>1.4905980542606017</v>
      </c>
    </row>
    <row r="116" spans="1:6" x14ac:dyDescent="0.25">
      <c r="A116" s="1">
        <v>3468</v>
      </c>
      <c r="B116" s="1">
        <f t="shared" si="6"/>
        <v>2.7947252747252747</v>
      </c>
      <c r="C116" s="1">
        <f t="shared" si="5"/>
        <v>55311.004784688987</v>
      </c>
      <c r="D116" s="3">
        <f t="shared" si="7"/>
        <v>-9.9489958468419104</v>
      </c>
      <c r="E116" s="3" t="str">
        <f t="shared" si="8"/>
        <v>-10,</v>
      </c>
      <c r="F116" s="4">
        <f t="shared" si="9"/>
        <v>1.5596124055754217</v>
      </c>
    </row>
    <row r="117" spans="1:6" x14ac:dyDescent="0.25">
      <c r="A117" s="1">
        <v>3514</v>
      </c>
      <c r="B117" s="1">
        <f t="shared" si="6"/>
        <v>2.8317948717948713</v>
      </c>
      <c r="C117" s="1">
        <f t="shared" si="5"/>
        <v>60481.927710843345</v>
      </c>
      <c r="D117" s="3">
        <f t="shared" si="7"/>
        <v>-11.588490104488017</v>
      </c>
      <c r="E117" s="3" t="str">
        <f t="shared" si="8"/>
        <v>-12,</v>
      </c>
      <c r="F117" s="4">
        <f t="shared" si="9"/>
        <v>1.6394942576461062</v>
      </c>
    </row>
    <row r="118" spans="1:6" x14ac:dyDescent="0.25">
      <c r="A118" s="1">
        <v>3560</v>
      </c>
      <c r="B118" s="1">
        <f t="shared" si="6"/>
        <v>2.8688644688644689</v>
      </c>
      <c r="C118" s="1">
        <f t="shared" si="5"/>
        <v>66542.056074766369</v>
      </c>
      <c r="D118" s="3">
        <f t="shared" si="7"/>
        <v>-13.321291107685227</v>
      </c>
      <c r="E118" s="3" t="str">
        <f t="shared" si="8"/>
        <v>-13,</v>
      </c>
      <c r="F118" s="4">
        <f t="shared" si="9"/>
        <v>1.7328010031972099</v>
      </c>
    </row>
    <row r="119" spans="1:6" x14ac:dyDescent="0.25">
      <c r="A119" s="1">
        <v>3606</v>
      </c>
      <c r="B119" s="1">
        <f t="shared" si="6"/>
        <v>2.9059340659340656</v>
      </c>
      <c r="C119" s="1">
        <f t="shared" si="5"/>
        <v>73742.331288343543</v>
      </c>
      <c r="D119" s="3">
        <f t="shared" si="7"/>
        <v>-15.164279076029231</v>
      </c>
      <c r="E119" s="3" t="str">
        <f t="shared" si="8"/>
        <v>-15,</v>
      </c>
      <c r="F119" s="4">
        <f t="shared" si="9"/>
        <v>1.8429879683440049</v>
      </c>
    </row>
    <row r="120" spans="1:6" x14ac:dyDescent="0.25">
      <c r="A120" s="1">
        <v>3652</v>
      </c>
      <c r="B120" s="1">
        <f t="shared" si="6"/>
        <v>2.9430036630036631</v>
      </c>
      <c r="C120" s="1">
        <f t="shared" si="5"/>
        <v>82437.923250564374</v>
      </c>
      <c r="D120" s="3">
        <f t="shared" si="7"/>
        <v>-17.139121708503609</v>
      </c>
      <c r="E120" s="3" t="str">
        <f t="shared" si="8"/>
        <v>-17,</v>
      </c>
      <c r="F120" s="4">
        <f t="shared" si="9"/>
        <v>1.9748426324743775</v>
      </c>
    </row>
    <row r="121" spans="1:6" x14ac:dyDescent="0.25">
      <c r="A121" s="1">
        <v>3675</v>
      </c>
      <c r="B121" s="1">
        <f t="shared" si="6"/>
        <v>2.9615384615384617</v>
      </c>
      <c r="C121" s="1">
        <f t="shared" si="5"/>
        <v>87500.000000000146</v>
      </c>
      <c r="D121" s="3">
        <f t="shared" si="7"/>
        <v>-18.184550702706588</v>
      </c>
      <c r="E121" s="3" t="str">
        <f t="shared" si="8"/>
        <v>-18,</v>
      </c>
      <c r="F121" s="4">
        <f t="shared" si="9"/>
        <v>1.0454289942029789</v>
      </c>
    </row>
    <row r="122" spans="1:6" x14ac:dyDescent="0.25">
      <c r="A122" s="1">
        <v>3698</v>
      </c>
      <c r="B122" s="1">
        <f t="shared" si="6"/>
        <v>2.9800732600732598</v>
      </c>
      <c r="C122" s="1">
        <f t="shared" si="5"/>
        <v>93148.6146095718</v>
      </c>
      <c r="D122" s="3">
        <f t="shared" si="7"/>
        <v>-19.274321483256813</v>
      </c>
      <c r="E122" s="3" t="str">
        <f t="shared" si="8"/>
        <v>-19,</v>
      </c>
      <c r="F122" s="4">
        <f t="shared" si="9"/>
        <v>1.089770780550225</v>
      </c>
    </row>
    <row r="123" spans="1:6" x14ac:dyDescent="0.25">
      <c r="A123" s="1">
        <v>3721</v>
      </c>
      <c r="B123" s="1">
        <f t="shared" si="6"/>
        <v>2.9986080586080583</v>
      </c>
      <c r="C123" s="1">
        <f t="shared" si="5"/>
        <v>99491.978609625658</v>
      </c>
      <c r="D123" s="3">
        <f t="shared" si="7"/>
        <v>-20.413599711329852</v>
      </c>
      <c r="E123" s="3" t="str">
        <f t="shared" si="8"/>
        <v>-20,</v>
      </c>
      <c r="F123" s="4">
        <f t="shared" si="9"/>
        <v>1.1392782280730387</v>
      </c>
    </row>
    <row r="124" spans="1:6" x14ac:dyDescent="0.25">
      <c r="A124" s="1">
        <v>3744</v>
      </c>
      <c r="B124" s="1">
        <f t="shared" si="6"/>
        <v>3.0171428571428569</v>
      </c>
      <c r="C124" s="1">
        <f t="shared" si="5"/>
        <v>106666.66666666663</v>
      </c>
      <c r="D124" s="3">
        <f t="shared" si="7"/>
        <v>-21.608498060454679</v>
      </c>
      <c r="E124" s="3" t="str">
        <f t="shared" si="8"/>
        <v>-22,</v>
      </c>
      <c r="F124" s="4">
        <f t="shared" si="9"/>
        <v>1.1948983491248271</v>
      </c>
    </row>
    <row r="125" spans="1:6" x14ac:dyDescent="0.25">
      <c r="A125" s="1">
        <v>3767</v>
      </c>
      <c r="B125" s="1">
        <f t="shared" si="6"/>
        <v>3.0356776556776555</v>
      </c>
      <c r="C125" s="1">
        <f t="shared" si="5"/>
        <v>114847.56097560968</v>
      </c>
      <c r="D125" s="3">
        <f t="shared" si="7"/>
        <v>-22.866326368358273</v>
      </c>
      <c r="E125" s="3" t="str">
        <f t="shared" si="8"/>
        <v>-23,</v>
      </c>
      <c r="F125" s="4">
        <f t="shared" si="9"/>
        <v>1.2578283079035941</v>
      </c>
    </row>
    <row r="126" spans="1:6" x14ac:dyDescent="0.25">
      <c r="A126" s="1">
        <v>3790</v>
      </c>
      <c r="B126" s="1">
        <f t="shared" si="6"/>
        <v>3.054212454212454</v>
      </c>
      <c r="C126" s="1">
        <f t="shared" si="5"/>
        <v>124262.29508196728</v>
      </c>
      <c r="D126" s="3">
        <f t="shared" si="7"/>
        <v>-24.195930839960312</v>
      </c>
      <c r="E126" s="3" t="str">
        <f t="shared" si="8"/>
        <v>-24,</v>
      </c>
      <c r="F126" s="4">
        <f t="shared" si="9"/>
        <v>1.329604471602039</v>
      </c>
    </row>
    <row r="127" spans="1:6" x14ac:dyDescent="0.25">
      <c r="A127" s="1">
        <v>3813</v>
      </c>
      <c r="B127" s="1">
        <f t="shared" si="6"/>
        <v>3.0727472527472526</v>
      </c>
      <c r="C127" s="1">
        <f t="shared" si="5"/>
        <v>135212.76595744686</v>
      </c>
      <c r="D127" s="3">
        <f t="shared" si="7"/>
        <v>-25.608163483960908</v>
      </c>
      <c r="E127" s="3" t="str">
        <f t="shared" si="8"/>
        <v>-26,</v>
      </c>
      <c r="F127" s="4">
        <f t="shared" si="9"/>
        <v>1.4122326440005963</v>
      </c>
    </row>
    <row r="128" spans="1:6" x14ac:dyDescent="0.25">
      <c r="A128" s="1">
        <v>3836</v>
      </c>
      <c r="B128" s="1">
        <f t="shared" si="6"/>
        <v>3.0912820512820511</v>
      </c>
      <c r="C128" s="1">
        <f t="shared" si="5"/>
        <v>148108.10810810814</v>
      </c>
      <c r="D128" s="3">
        <f t="shared" si="7"/>
        <v>-27.116547147062789</v>
      </c>
      <c r="E128" s="3" t="str">
        <f t="shared" si="8"/>
        <v>-27,</v>
      </c>
      <c r="F128" s="4">
        <f t="shared" si="9"/>
        <v>1.5083836631018812</v>
      </c>
    </row>
    <row r="129" spans="1:6" x14ac:dyDescent="0.25">
      <c r="A129" s="1">
        <v>3859</v>
      </c>
      <c r="B129" s="1">
        <f t="shared" si="6"/>
        <v>3.1098168498168497</v>
      </c>
      <c r="C129" s="1">
        <f t="shared" si="5"/>
        <v>163516.94915254231</v>
      </c>
      <c r="D129" s="3">
        <f t="shared" si="7"/>
        <v>-28.738243473074505</v>
      </c>
      <c r="E129" s="3" t="str">
        <f t="shared" si="8"/>
        <v>-29,</v>
      </c>
      <c r="F129" s="4">
        <f t="shared" si="9"/>
        <v>1.6216963260117154</v>
      </c>
    </row>
    <row r="130" spans="1:6" x14ac:dyDescent="0.25">
      <c r="A130" s="1">
        <v>3882</v>
      </c>
      <c r="B130" s="1">
        <f t="shared" si="6"/>
        <v>3.1283516483516483</v>
      </c>
      <c r="C130" s="1">
        <f t="shared" si="5"/>
        <v>182253.52112676084</v>
      </c>
      <c r="D130" s="3">
        <f t="shared" si="7"/>
        <v>-30.495507115575577</v>
      </c>
      <c r="E130" s="3" t="str">
        <f t="shared" si="8"/>
        <v>-30,</v>
      </c>
      <c r="F130" s="4">
        <f t="shared" si="9"/>
        <v>1.7572636425010728</v>
      </c>
    </row>
    <row r="131" spans="1:6" x14ac:dyDescent="0.25">
      <c r="A131" s="1">
        <v>3905</v>
      </c>
      <c r="B131" s="1">
        <f t="shared" si="6"/>
        <v>3.1468864468864468</v>
      </c>
      <c r="C131" s="1">
        <f t="shared" ref="C131:C151" si="10">B131/$H$2/(1-B131/$H$2)*10000</f>
        <v>205526.31578947394</v>
      </c>
      <c r="D131" s="3">
        <f t="shared" si="7"/>
        <v>-32.417954274197655</v>
      </c>
      <c r="E131" s="3" t="str">
        <f t="shared" si="8"/>
        <v>-32,</v>
      </c>
      <c r="F131" s="4">
        <f t="shared" si="9"/>
        <v>1.9224471586220773</v>
      </c>
    </row>
    <row r="132" spans="1:6" x14ac:dyDescent="0.25">
      <c r="A132" s="1">
        <v>3917</v>
      </c>
      <c r="B132" s="1">
        <f t="shared" ref="B132:B151" si="11">A132/(2^12-1)*$H$2</f>
        <v>3.1565567765567764</v>
      </c>
      <c r="C132" s="1">
        <f t="shared" si="10"/>
        <v>220056.17977528114</v>
      </c>
      <c r="D132" s="3">
        <f t="shared" ref="D132:D151" si="12">1/($I$2+$J$2*LN(C132/$M$2)+$K$2*LN(C132/$M$2)^2+$L$2*LN(C132/$M$2)^3)-273</f>
        <v>-33.49952535372401</v>
      </c>
      <c r="E132" s="3" t="str">
        <f t="shared" ref="E132:E151" si="13">CONCATENATE(ROUND(MAX(-128,MIN(127,D132)),0),",")</f>
        <v>-33,</v>
      </c>
      <c r="F132" s="4">
        <f t="shared" si="9"/>
        <v>1.0815710795263556</v>
      </c>
    </row>
    <row r="133" spans="1:6" x14ac:dyDescent="0.25">
      <c r="A133" s="1">
        <v>3929</v>
      </c>
      <c r="B133" s="1">
        <f t="shared" si="11"/>
        <v>3.1662271062271063</v>
      </c>
      <c r="C133" s="1">
        <f t="shared" si="10"/>
        <v>236686.74698795201</v>
      </c>
      <c r="D133" s="3">
        <f t="shared" si="12"/>
        <v>-34.644284603416338</v>
      </c>
      <c r="E133" s="3" t="str">
        <f t="shared" si="13"/>
        <v>-35,</v>
      </c>
      <c r="F133" s="4">
        <f t="shared" ref="F133:F151" si="14">D132-D133</f>
        <v>1.1447592496923278</v>
      </c>
    </row>
    <row r="134" spans="1:6" x14ac:dyDescent="0.25">
      <c r="A134" s="1">
        <v>3941</v>
      </c>
      <c r="B134" s="1">
        <f t="shared" si="11"/>
        <v>3.1758974358974359</v>
      </c>
      <c r="C134" s="1">
        <f t="shared" si="10"/>
        <v>255909.09090909109</v>
      </c>
      <c r="D134" s="3">
        <f t="shared" si="12"/>
        <v>-35.861274276143462</v>
      </c>
      <c r="E134" s="3" t="str">
        <f t="shared" si="13"/>
        <v>-36,</v>
      </c>
      <c r="F134" s="4">
        <f t="shared" si="14"/>
        <v>1.2169896727271237</v>
      </c>
    </row>
    <row r="135" spans="1:6" x14ac:dyDescent="0.25">
      <c r="A135" s="1">
        <v>3953</v>
      </c>
      <c r="B135" s="1">
        <f t="shared" si="11"/>
        <v>3.1855677655677654</v>
      </c>
      <c r="C135" s="1">
        <f t="shared" si="10"/>
        <v>278380.28169014095</v>
      </c>
      <c r="D135" s="3">
        <f t="shared" si="12"/>
        <v>-37.16166213356334</v>
      </c>
      <c r="E135" s="3" t="str">
        <f t="shared" si="13"/>
        <v>-37,</v>
      </c>
      <c r="F135" s="4">
        <f t="shared" si="14"/>
        <v>1.3003878574198779</v>
      </c>
    </row>
    <row r="136" spans="1:6" x14ac:dyDescent="0.25">
      <c r="A136" s="1">
        <v>3965</v>
      </c>
      <c r="B136" s="1">
        <f t="shared" si="11"/>
        <v>3.195238095238095</v>
      </c>
      <c r="C136" s="1">
        <f t="shared" si="10"/>
        <v>305000</v>
      </c>
      <c r="D136" s="3">
        <f t="shared" si="12"/>
        <v>-38.559473122753616</v>
      </c>
      <c r="E136" s="3" t="str">
        <f t="shared" si="13"/>
        <v>-39,</v>
      </c>
      <c r="F136" s="4">
        <f t="shared" si="14"/>
        <v>1.3978109891902761</v>
      </c>
    </row>
    <row r="137" spans="1:6" x14ac:dyDescent="0.25">
      <c r="A137" s="1">
        <v>3977</v>
      </c>
      <c r="B137" s="1">
        <f t="shared" si="11"/>
        <v>3.2049084249084245</v>
      </c>
      <c r="C137" s="1">
        <f t="shared" si="10"/>
        <v>337033.89830508461</v>
      </c>
      <c r="D137" s="3">
        <f t="shared" si="12"/>
        <v>-40.07266836169066</v>
      </c>
      <c r="E137" s="3" t="str">
        <f t="shared" si="13"/>
        <v>-40,</v>
      </c>
      <c r="F137" s="4">
        <f t="shared" si="14"/>
        <v>1.513195238937044</v>
      </c>
    </row>
    <row r="138" spans="1:6" x14ac:dyDescent="0.25">
      <c r="A138" s="1">
        <v>3989</v>
      </c>
      <c r="B138" s="1">
        <f t="shared" si="11"/>
        <v>3.2145787545787545</v>
      </c>
      <c r="C138" s="1">
        <f t="shared" si="10"/>
        <v>376320.75471698248</v>
      </c>
      <c r="D138" s="3">
        <f t="shared" si="12"/>
        <v>-41.724791415268442</v>
      </c>
      <c r="E138" s="3" t="str">
        <f t="shared" si="13"/>
        <v>-42,</v>
      </c>
      <c r="F138" s="4">
        <f t="shared" si="14"/>
        <v>1.6521230535777818</v>
      </c>
    </row>
    <row r="139" spans="1:6" x14ac:dyDescent="0.25">
      <c r="A139" s="1">
        <v>4001</v>
      </c>
      <c r="B139" s="1">
        <f t="shared" si="11"/>
        <v>3.2242490842490841</v>
      </c>
      <c r="C139" s="1">
        <f t="shared" si="10"/>
        <v>425638.29787233984</v>
      </c>
      <c r="D139" s="3">
        <f t="shared" si="12"/>
        <v>-43.547584592483332</v>
      </c>
      <c r="E139" s="3" t="str">
        <f t="shared" si="13"/>
        <v>-44,</v>
      </c>
      <c r="F139" s="4">
        <f t="shared" si="14"/>
        <v>1.8227931772148906</v>
      </c>
    </row>
    <row r="140" spans="1:6" x14ac:dyDescent="0.25">
      <c r="A140" s="1">
        <v>4008</v>
      </c>
      <c r="B140" s="1">
        <f t="shared" si="11"/>
        <v>3.2298901098901096</v>
      </c>
      <c r="C140" s="1">
        <f t="shared" si="10"/>
        <v>460689.65517241304</v>
      </c>
      <c r="D140" s="3">
        <f t="shared" si="12"/>
        <v>-44.706602962755454</v>
      </c>
      <c r="E140" s="3" t="str">
        <f t="shared" si="13"/>
        <v>-45,</v>
      </c>
      <c r="F140" s="4">
        <f t="shared" si="14"/>
        <v>1.159018370272122</v>
      </c>
    </row>
    <row r="141" spans="1:6" x14ac:dyDescent="0.25">
      <c r="A141" s="1">
        <v>4015</v>
      </c>
      <c r="B141" s="1">
        <f t="shared" si="11"/>
        <v>3.2355311355311351</v>
      </c>
      <c r="C141" s="1">
        <f t="shared" si="10"/>
        <v>501874.99999999895</v>
      </c>
      <c r="D141" s="3">
        <f t="shared" si="12"/>
        <v>-45.950022626501919</v>
      </c>
      <c r="E141" s="3" t="str">
        <f t="shared" si="13"/>
        <v>-46,</v>
      </c>
      <c r="F141" s="4">
        <f t="shared" si="14"/>
        <v>1.2434196637464652</v>
      </c>
    </row>
    <row r="142" spans="1:6" x14ac:dyDescent="0.25">
      <c r="A142" s="1">
        <v>4022</v>
      </c>
      <c r="B142" s="1">
        <f t="shared" si="11"/>
        <v>3.2411721611721607</v>
      </c>
      <c r="C142" s="1">
        <f t="shared" si="10"/>
        <v>550958.90410958754</v>
      </c>
      <c r="D142" s="3">
        <f t="shared" si="12"/>
        <v>-47.292541364192772</v>
      </c>
      <c r="E142" s="3" t="str">
        <f t="shared" si="13"/>
        <v>-47,</v>
      </c>
      <c r="F142" s="4">
        <f t="shared" si="14"/>
        <v>1.3425187376908525</v>
      </c>
    </row>
    <row r="143" spans="1:6" x14ac:dyDescent="0.25">
      <c r="A143" s="1">
        <v>4029</v>
      </c>
      <c r="B143" s="1">
        <f t="shared" si="11"/>
        <v>3.2468131868131866</v>
      </c>
      <c r="C143" s="1">
        <f t="shared" si="10"/>
        <v>610454.54545454762</v>
      </c>
      <c r="D143" s="3">
        <f t="shared" si="12"/>
        <v>-48.75315391417962</v>
      </c>
      <c r="E143" s="3" t="str">
        <f t="shared" si="13"/>
        <v>-49,</v>
      </c>
      <c r="F143" s="4">
        <f t="shared" si="14"/>
        <v>1.4606125499868483</v>
      </c>
    </row>
    <row r="144" spans="1:6" x14ac:dyDescent="0.25">
      <c r="A144" s="1">
        <v>4036</v>
      </c>
      <c r="B144" s="1">
        <f t="shared" si="11"/>
        <v>3.2524542124542126</v>
      </c>
      <c r="C144" s="1">
        <f t="shared" si="10"/>
        <v>684067.79661017202</v>
      </c>
      <c r="D144" s="3">
        <f t="shared" si="12"/>
        <v>-50.357032091506852</v>
      </c>
      <c r="E144" s="3" t="str">
        <f t="shared" si="13"/>
        <v>-50,</v>
      </c>
      <c r="F144" s="4">
        <f t="shared" si="14"/>
        <v>1.6038781773272319</v>
      </c>
    </row>
    <row r="145" spans="1:6" x14ac:dyDescent="0.25">
      <c r="A145" s="1">
        <v>4043</v>
      </c>
      <c r="B145" s="1">
        <f t="shared" si="11"/>
        <v>3.2580952380952382</v>
      </c>
      <c r="C145" s="1">
        <f t="shared" si="10"/>
        <v>777500.00000000279</v>
      </c>
      <c r="D145" s="3">
        <f t="shared" si="12"/>
        <v>-52.138570274547533</v>
      </c>
      <c r="E145" s="3" t="str">
        <f t="shared" si="13"/>
        <v>-52,</v>
      </c>
      <c r="F145" s="4">
        <f t="shared" si="14"/>
        <v>1.7815381830406807</v>
      </c>
    </row>
    <row r="146" spans="1:6" x14ac:dyDescent="0.25">
      <c r="A146" s="1">
        <v>4047</v>
      </c>
      <c r="B146" s="1">
        <f t="shared" si="11"/>
        <v>3.2613186813186812</v>
      </c>
      <c r="C146" s="1">
        <f t="shared" si="10"/>
        <v>843125.00000000303</v>
      </c>
      <c r="D146" s="3">
        <f t="shared" si="12"/>
        <v>-53.254318749578204</v>
      </c>
      <c r="E146" s="3" t="str">
        <f t="shared" si="13"/>
        <v>-53,</v>
      </c>
      <c r="F146" s="4">
        <f t="shared" si="14"/>
        <v>1.1157484750306708</v>
      </c>
    </row>
    <row r="147" spans="1:6" x14ac:dyDescent="0.25">
      <c r="A147" s="1">
        <v>4051</v>
      </c>
      <c r="B147" s="1">
        <f t="shared" si="11"/>
        <v>3.2645421245421247</v>
      </c>
      <c r="C147" s="1">
        <f t="shared" si="10"/>
        <v>920681.81818182149</v>
      </c>
      <c r="D147" s="3">
        <f t="shared" si="12"/>
        <v>-54.455773454749817</v>
      </c>
      <c r="E147" s="3" t="str">
        <f t="shared" si="13"/>
        <v>-54,</v>
      </c>
      <c r="F147" s="4">
        <f t="shared" si="14"/>
        <v>1.2014547051716136</v>
      </c>
    </row>
    <row r="148" spans="1:6" x14ac:dyDescent="0.25">
      <c r="A148" s="1">
        <v>4055</v>
      </c>
      <c r="B148" s="1">
        <f t="shared" si="11"/>
        <v>3.2677655677655677</v>
      </c>
      <c r="C148" s="1">
        <f t="shared" si="10"/>
        <v>1013750.0000000037</v>
      </c>
      <c r="D148" s="3">
        <f t="shared" si="12"/>
        <v>-55.758473849007231</v>
      </c>
      <c r="E148" s="3" t="str">
        <f t="shared" si="13"/>
        <v>-56,</v>
      </c>
      <c r="F148" s="4">
        <f t="shared" si="14"/>
        <v>1.302700394257414</v>
      </c>
    </row>
    <row r="149" spans="1:6" x14ac:dyDescent="0.25">
      <c r="A149" s="1">
        <v>4059</v>
      </c>
      <c r="B149" s="1">
        <f t="shared" si="11"/>
        <v>3.2709890109890107</v>
      </c>
      <c r="C149" s="1">
        <f t="shared" si="10"/>
        <v>1127500.000000004</v>
      </c>
      <c r="D149" s="3">
        <f t="shared" si="12"/>
        <v>-57.182711870674382</v>
      </c>
      <c r="E149" s="3" t="str">
        <f t="shared" si="13"/>
        <v>-57,</v>
      </c>
      <c r="F149" s="4">
        <f t="shared" si="14"/>
        <v>1.4242380216671506</v>
      </c>
    </row>
    <row r="150" spans="1:6" x14ac:dyDescent="0.25">
      <c r="A150" s="1">
        <v>4063</v>
      </c>
      <c r="B150" s="1">
        <f t="shared" si="11"/>
        <v>3.2742124542124542</v>
      </c>
      <c r="C150" s="1">
        <f t="shared" si="10"/>
        <v>1269687.5000000047</v>
      </c>
      <c r="D150" s="3">
        <f t="shared" si="12"/>
        <v>-58.755718168954814</v>
      </c>
      <c r="E150" s="3" t="str">
        <f t="shared" si="13"/>
        <v>-59,</v>
      </c>
      <c r="F150" s="4">
        <f t="shared" si="14"/>
        <v>1.5730062982804327</v>
      </c>
    </row>
    <row r="151" spans="1:6" x14ac:dyDescent="0.25">
      <c r="A151" s="1">
        <v>4067</v>
      </c>
      <c r="B151" s="1">
        <f t="shared" si="11"/>
        <v>3.2774358974358972</v>
      </c>
      <c r="C151" s="1">
        <f t="shared" si="10"/>
        <v>1452500.0000000051</v>
      </c>
      <c r="D151" s="3">
        <f t="shared" si="12"/>
        <v>-60.515282292960393</v>
      </c>
      <c r="E151" s="3" t="str">
        <f t="shared" si="13"/>
        <v>-61,</v>
      </c>
      <c r="F151" s="4">
        <f t="shared" si="14"/>
        <v>1.7595641240055784</v>
      </c>
    </row>
  </sheetData>
  <conditionalFormatting sqref="F1:F1048576">
    <cfRule type="cellIs" dxfId="0" priority="1" operator="notBetween">
      <formula>1</formula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thermistor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 Oliel</dc:creator>
  <cp:lastModifiedBy>Dor Oliel</cp:lastModifiedBy>
  <dcterms:created xsi:type="dcterms:W3CDTF">2015-06-05T18:17:20Z</dcterms:created>
  <dcterms:modified xsi:type="dcterms:W3CDTF">2020-08-06T15:05:19Z</dcterms:modified>
</cp:coreProperties>
</file>